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安穎\東大\大數據視覺量表\"/>
    </mc:Choice>
  </mc:AlternateContent>
  <xr:revisionPtr revIDLastSave="0" documentId="8_{E066E45B-B544-4187-9932-EEF79725DEF1}" xr6:coauthVersionLast="47" xr6:coauthVersionMax="47" xr10:uidLastSave="{00000000-0000-0000-0000-000000000000}"/>
  <bookViews>
    <workbookView xWindow="9084" yWindow="108" windowWidth="8964" windowHeight="11676" xr2:uid="{980F90A3-DC64-4D1A-BBDC-185894CAA51A}"/>
  </bookViews>
  <sheets>
    <sheet name="工作表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A1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26481;&#22823;&#27604;&#36093;&#25976;&#25818;.xlsx" TargetMode="External"/><Relationship Id="rId1" Type="http://schemas.openxmlformats.org/officeDocument/2006/relationships/externalLinkPath" Target="file:///C:\Users\User\Downloads\&#26481;&#22823;&#27604;&#36093;&#25976;&#2581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團隊投球成績"/>
      <sheetName val="Sheet2"/>
      <sheetName val="Sheet1"/>
      <sheetName val="團隊打擊成績"/>
    </sheetNames>
    <sheetDataSet>
      <sheetData sheetId="0">
        <row r="1">
          <cell r="A1" t="str">
            <v>日期</v>
          </cell>
          <cell r="B1" t="str">
            <v>賽事性質</v>
          </cell>
          <cell r="C1" t="str">
            <v>編號</v>
          </cell>
          <cell r="D1" t="str">
            <v>層級</v>
          </cell>
          <cell r="E1" t="str">
            <v>對手</v>
          </cell>
          <cell r="F1" t="str">
            <v>出賽球員</v>
          </cell>
          <cell r="G1" t="str">
            <v>登板型態</v>
          </cell>
          <cell r="H1" t="str">
            <v>局數</v>
          </cell>
          <cell r="I1" t="str">
            <v>最速</v>
          </cell>
          <cell r="J1" t="str">
            <v>總球數</v>
          </cell>
          <cell r="K1" t="str">
            <v>好球數</v>
          </cell>
          <cell r="L1" t="str">
            <v>壞球數</v>
          </cell>
          <cell r="M1" t="str">
            <v>總失分</v>
          </cell>
          <cell r="N1" t="str">
            <v>自責分</v>
          </cell>
          <cell r="O1" t="str">
            <v>被全壘打</v>
          </cell>
          <cell r="P1" t="str">
            <v>被安打</v>
          </cell>
          <cell r="Q1" t="str">
            <v>奪三振</v>
          </cell>
          <cell r="R1" t="str">
            <v>四死球</v>
          </cell>
          <cell r="S1" t="str">
            <v>打者數</v>
          </cell>
          <cell r="T1" t="str">
            <v>滾地球</v>
          </cell>
          <cell r="U1" t="str">
            <v>飛球</v>
          </cell>
        </row>
        <row r="2">
          <cell r="B2" t="str">
            <v>春季聯賽</v>
          </cell>
          <cell r="C2">
            <v>1</v>
          </cell>
          <cell r="D2" t="str">
            <v>大學</v>
          </cell>
          <cell r="E2" t="str">
            <v>北市大</v>
          </cell>
          <cell r="F2" t="str">
            <v>李聖韓</v>
          </cell>
          <cell r="G2" t="str">
            <v>先發</v>
          </cell>
          <cell r="H2">
            <v>1.6666666666666665</v>
          </cell>
          <cell r="I2">
            <v>138</v>
          </cell>
          <cell r="J2">
            <v>42</v>
          </cell>
          <cell r="K2">
            <v>21</v>
          </cell>
          <cell r="L2">
            <v>21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2</v>
          </cell>
          <cell r="R2">
            <v>3</v>
          </cell>
          <cell r="S2">
            <v>9</v>
          </cell>
          <cell r="T2">
            <v>0</v>
          </cell>
          <cell r="U2">
            <v>3</v>
          </cell>
        </row>
        <row r="3">
          <cell r="B3" t="str">
            <v>春季聯賽</v>
          </cell>
          <cell r="C3">
            <v>2</v>
          </cell>
          <cell r="D3" t="str">
            <v>大學</v>
          </cell>
          <cell r="E3" t="str">
            <v>北市大</v>
          </cell>
          <cell r="F3" t="str">
            <v>李冠中</v>
          </cell>
          <cell r="G3" t="str">
            <v>中繼</v>
          </cell>
          <cell r="H3">
            <v>2.6666666666666665</v>
          </cell>
          <cell r="I3">
            <v>132</v>
          </cell>
          <cell r="J3">
            <v>53</v>
          </cell>
          <cell r="K3">
            <v>35</v>
          </cell>
          <cell r="L3">
            <v>18</v>
          </cell>
          <cell r="M3">
            <v>2</v>
          </cell>
          <cell r="N3">
            <v>2</v>
          </cell>
          <cell r="O3">
            <v>0</v>
          </cell>
          <cell r="P3">
            <v>4</v>
          </cell>
          <cell r="Q3">
            <v>2</v>
          </cell>
          <cell r="R3">
            <v>1</v>
          </cell>
          <cell r="S3">
            <v>14</v>
          </cell>
          <cell r="T3">
            <v>2</v>
          </cell>
          <cell r="U3">
            <v>5</v>
          </cell>
        </row>
        <row r="4">
          <cell r="B4" t="str">
            <v>春季聯賽</v>
          </cell>
          <cell r="C4">
            <v>3</v>
          </cell>
          <cell r="D4" t="str">
            <v>大學</v>
          </cell>
          <cell r="E4" t="str">
            <v>北市大</v>
          </cell>
          <cell r="F4" t="str">
            <v>葉一鋐</v>
          </cell>
          <cell r="G4" t="str">
            <v>中繼</v>
          </cell>
          <cell r="H4">
            <v>1</v>
          </cell>
          <cell r="I4">
            <v>139</v>
          </cell>
          <cell r="J4">
            <v>22</v>
          </cell>
          <cell r="K4">
            <v>12</v>
          </cell>
          <cell r="L4">
            <v>10</v>
          </cell>
          <cell r="M4">
            <v>2</v>
          </cell>
          <cell r="N4">
            <v>2</v>
          </cell>
          <cell r="O4">
            <v>0</v>
          </cell>
          <cell r="P4">
            <v>3</v>
          </cell>
          <cell r="Q4">
            <v>2</v>
          </cell>
          <cell r="R4">
            <v>0</v>
          </cell>
          <cell r="S4">
            <v>6</v>
          </cell>
          <cell r="T4">
            <v>1</v>
          </cell>
          <cell r="U4">
            <v>0</v>
          </cell>
        </row>
        <row r="5">
          <cell r="B5" t="str">
            <v>春季聯賽</v>
          </cell>
          <cell r="C5">
            <v>4</v>
          </cell>
          <cell r="D5" t="str">
            <v>大學</v>
          </cell>
          <cell r="E5" t="str">
            <v>北市大</v>
          </cell>
          <cell r="F5" t="str">
            <v>李振綸</v>
          </cell>
          <cell r="G5" t="str">
            <v>中繼</v>
          </cell>
          <cell r="H5">
            <v>1.6666666666666665</v>
          </cell>
          <cell r="I5">
            <v>131</v>
          </cell>
          <cell r="J5">
            <v>17</v>
          </cell>
          <cell r="K5">
            <v>13</v>
          </cell>
          <cell r="L5">
            <v>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5</v>
          </cell>
          <cell r="T5">
            <v>2</v>
          </cell>
          <cell r="U5">
            <v>3</v>
          </cell>
        </row>
        <row r="6">
          <cell r="B6" t="str">
            <v>春季聯賽</v>
          </cell>
          <cell r="C6">
            <v>5</v>
          </cell>
          <cell r="D6" t="str">
            <v>大學</v>
          </cell>
          <cell r="E6" t="str">
            <v>北市大</v>
          </cell>
          <cell r="F6" t="str">
            <v>林誠恩</v>
          </cell>
          <cell r="G6" t="str">
            <v>後援</v>
          </cell>
          <cell r="H6">
            <v>2</v>
          </cell>
          <cell r="I6">
            <v>142</v>
          </cell>
          <cell r="J6">
            <v>24</v>
          </cell>
          <cell r="K6">
            <v>15</v>
          </cell>
          <cell r="L6">
            <v>9</v>
          </cell>
          <cell r="M6">
            <v>1</v>
          </cell>
          <cell r="N6">
            <v>1</v>
          </cell>
          <cell r="O6">
            <v>0</v>
          </cell>
          <cell r="P6">
            <v>2</v>
          </cell>
          <cell r="Q6">
            <v>0</v>
          </cell>
          <cell r="R6">
            <v>1</v>
          </cell>
          <cell r="S6">
            <v>8</v>
          </cell>
          <cell r="T6">
            <v>3</v>
          </cell>
          <cell r="U6">
            <v>1</v>
          </cell>
        </row>
        <row r="7">
          <cell r="B7" t="str">
            <v>春季聯賽</v>
          </cell>
          <cell r="C7">
            <v>6</v>
          </cell>
          <cell r="D7" t="str">
            <v>大學</v>
          </cell>
          <cell r="E7" t="str">
            <v>高雄大學</v>
          </cell>
          <cell r="F7" t="str">
            <v>許少捷</v>
          </cell>
          <cell r="G7" t="str">
            <v>先發</v>
          </cell>
          <cell r="H7">
            <v>3</v>
          </cell>
          <cell r="I7">
            <v>143</v>
          </cell>
          <cell r="J7">
            <v>62</v>
          </cell>
          <cell r="K7">
            <v>34</v>
          </cell>
          <cell r="L7">
            <v>28</v>
          </cell>
          <cell r="M7">
            <v>3</v>
          </cell>
          <cell r="N7">
            <v>3</v>
          </cell>
          <cell r="O7">
            <v>0</v>
          </cell>
          <cell r="P7">
            <v>4</v>
          </cell>
          <cell r="Q7">
            <v>4</v>
          </cell>
          <cell r="R7">
            <v>3</v>
          </cell>
          <cell r="S7">
            <v>15</v>
          </cell>
          <cell r="T7">
            <v>4</v>
          </cell>
          <cell r="U7">
            <v>0</v>
          </cell>
        </row>
        <row r="8">
          <cell r="B8" t="str">
            <v>春季聯賽</v>
          </cell>
          <cell r="C8">
            <v>7</v>
          </cell>
          <cell r="D8" t="str">
            <v>大學</v>
          </cell>
          <cell r="E8" t="str">
            <v>高雄大學</v>
          </cell>
          <cell r="F8" t="str">
            <v>邱承葦</v>
          </cell>
          <cell r="G8" t="str">
            <v>中繼</v>
          </cell>
          <cell r="H8">
            <v>3</v>
          </cell>
          <cell r="I8">
            <v>135</v>
          </cell>
          <cell r="J8">
            <v>37</v>
          </cell>
          <cell r="K8">
            <v>26</v>
          </cell>
          <cell r="L8">
            <v>11</v>
          </cell>
          <cell r="M8">
            <v>1</v>
          </cell>
          <cell r="N8">
            <v>1</v>
          </cell>
          <cell r="O8">
            <v>0</v>
          </cell>
          <cell r="P8">
            <v>4</v>
          </cell>
          <cell r="Q8">
            <v>2</v>
          </cell>
          <cell r="R8">
            <v>0</v>
          </cell>
          <cell r="S8">
            <v>12</v>
          </cell>
          <cell r="T8">
            <v>0</v>
          </cell>
          <cell r="U8">
            <v>6</v>
          </cell>
        </row>
        <row r="9">
          <cell r="B9" t="str">
            <v>春季聯賽</v>
          </cell>
          <cell r="C9">
            <v>8</v>
          </cell>
          <cell r="D9" t="str">
            <v>大學</v>
          </cell>
          <cell r="E9" t="str">
            <v>高雄大學</v>
          </cell>
          <cell r="F9" t="str">
            <v>王弘彥</v>
          </cell>
          <cell r="G9" t="str">
            <v>後援</v>
          </cell>
          <cell r="H9">
            <v>1</v>
          </cell>
          <cell r="I9">
            <v>130</v>
          </cell>
          <cell r="J9">
            <v>10</v>
          </cell>
          <cell r="K9">
            <v>7</v>
          </cell>
          <cell r="L9">
            <v>3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1</v>
          </cell>
          <cell r="R9">
            <v>0</v>
          </cell>
          <cell r="S9">
            <v>4</v>
          </cell>
          <cell r="T9">
            <v>1</v>
          </cell>
          <cell r="U9">
            <v>1</v>
          </cell>
        </row>
        <row r="10">
          <cell r="B10" t="str">
            <v>春季聯賽</v>
          </cell>
          <cell r="C10">
            <v>9</v>
          </cell>
          <cell r="D10" t="str">
            <v>大學</v>
          </cell>
          <cell r="E10" t="str">
            <v>明新科大</v>
          </cell>
          <cell r="F10" t="str">
            <v>張甯翔</v>
          </cell>
          <cell r="G10" t="str">
            <v>先發</v>
          </cell>
          <cell r="H10">
            <v>5</v>
          </cell>
          <cell r="I10">
            <v>134</v>
          </cell>
          <cell r="J10">
            <v>61</v>
          </cell>
          <cell r="K10">
            <v>46</v>
          </cell>
          <cell r="L10">
            <v>15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9</v>
          </cell>
          <cell r="R10">
            <v>0</v>
          </cell>
          <cell r="S10">
            <v>18</v>
          </cell>
          <cell r="T10">
            <v>2</v>
          </cell>
          <cell r="U10">
            <v>4</v>
          </cell>
        </row>
        <row r="11">
          <cell r="B11" t="str">
            <v>春季聯賽</v>
          </cell>
          <cell r="C11">
            <v>10</v>
          </cell>
          <cell r="D11" t="str">
            <v>大學</v>
          </cell>
          <cell r="E11" t="str">
            <v>明新科大</v>
          </cell>
          <cell r="F11" t="str">
            <v>林承恩</v>
          </cell>
          <cell r="G11" t="str">
            <v>中繼</v>
          </cell>
          <cell r="H11">
            <v>2</v>
          </cell>
          <cell r="I11">
            <v>143</v>
          </cell>
          <cell r="J11">
            <v>23</v>
          </cell>
          <cell r="K11">
            <v>19</v>
          </cell>
          <cell r="L11">
            <v>4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3</v>
          </cell>
          <cell r="R11">
            <v>0</v>
          </cell>
          <cell r="S11">
            <v>7</v>
          </cell>
          <cell r="T11">
            <v>1</v>
          </cell>
          <cell r="U11">
            <v>2</v>
          </cell>
        </row>
        <row r="12">
          <cell r="B12" t="str">
            <v>春季聯賽</v>
          </cell>
          <cell r="C12">
            <v>11</v>
          </cell>
          <cell r="D12" t="str">
            <v>大學</v>
          </cell>
          <cell r="E12" t="str">
            <v>長榮大學</v>
          </cell>
          <cell r="F12" t="str">
            <v>陳培安</v>
          </cell>
          <cell r="G12" t="str">
            <v>先發</v>
          </cell>
          <cell r="H12">
            <v>4.333333333333333</v>
          </cell>
          <cell r="I12">
            <v>134</v>
          </cell>
          <cell r="J12">
            <v>99</v>
          </cell>
          <cell r="K12">
            <v>52</v>
          </cell>
          <cell r="L12">
            <v>47</v>
          </cell>
          <cell r="M12">
            <v>2</v>
          </cell>
          <cell r="N12">
            <v>1</v>
          </cell>
          <cell r="O12">
            <v>0</v>
          </cell>
          <cell r="P12">
            <v>4</v>
          </cell>
          <cell r="Q12">
            <v>2</v>
          </cell>
          <cell r="R12">
            <v>5</v>
          </cell>
          <cell r="S12">
            <v>23</v>
          </cell>
          <cell r="T12">
            <v>11</v>
          </cell>
          <cell r="U12">
            <v>1</v>
          </cell>
        </row>
        <row r="13">
          <cell r="B13" t="str">
            <v>春季聯賽</v>
          </cell>
          <cell r="C13">
            <v>12</v>
          </cell>
          <cell r="D13" t="str">
            <v>大學</v>
          </cell>
          <cell r="E13" t="str">
            <v>長榮大學</v>
          </cell>
          <cell r="F13" t="str">
            <v>王弘彥</v>
          </cell>
          <cell r="G13" t="str">
            <v>中繼</v>
          </cell>
          <cell r="H13">
            <v>1.3333333333333333</v>
          </cell>
          <cell r="I13">
            <v>132</v>
          </cell>
          <cell r="J13">
            <v>36</v>
          </cell>
          <cell r="K13">
            <v>20</v>
          </cell>
          <cell r="L13">
            <v>16</v>
          </cell>
          <cell r="M13">
            <v>2</v>
          </cell>
          <cell r="N13">
            <v>2</v>
          </cell>
          <cell r="O13">
            <v>0</v>
          </cell>
          <cell r="P13">
            <v>2</v>
          </cell>
          <cell r="Q13">
            <v>4</v>
          </cell>
          <cell r="R13">
            <v>2</v>
          </cell>
          <cell r="S13">
            <v>8</v>
          </cell>
          <cell r="T13">
            <v>0</v>
          </cell>
          <cell r="U13">
            <v>0</v>
          </cell>
        </row>
        <row r="14">
          <cell r="B14" t="str">
            <v>春季聯賽</v>
          </cell>
          <cell r="C14">
            <v>13</v>
          </cell>
          <cell r="D14" t="str">
            <v>大學</v>
          </cell>
          <cell r="E14" t="str">
            <v>長榮大學</v>
          </cell>
          <cell r="F14" t="str">
            <v>李雚喆</v>
          </cell>
          <cell r="G14" t="str">
            <v>後援</v>
          </cell>
          <cell r="H14">
            <v>1.3333333333333333</v>
          </cell>
          <cell r="I14">
            <v>143</v>
          </cell>
          <cell r="J14">
            <v>16</v>
          </cell>
          <cell r="K14">
            <v>10</v>
          </cell>
          <cell r="L14">
            <v>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3</v>
          </cell>
          <cell r="R14">
            <v>0</v>
          </cell>
          <cell r="S14">
            <v>4</v>
          </cell>
          <cell r="T14">
            <v>0</v>
          </cell>
          <cell r="U14">
            <v>1</v>
          </cell>
        </row>
        <row r="15">
          <cell r="B15" t="str">
            <v>春季聯賽</v>
          </cell>
          <cell r="C15">
            <v>14</v>
          </cell>
          <cell r="D15" t="str">
            <v>大學</v>
          </cell>
          <cell r="E15" t="str">
            <v>嘉義大學</v>
          </cell>
          <cell r="F15" t="str">
            <v>林承恩</v>
          </cell>
          <cell r="G15" t="str">
            <v>先發</v>
          </cell>
          <cell r="H15">
            <v>5.333333333333333</v>
          </cell>
          <cell r="I15">
            <v>138</v>
          </cell>
          <cell r="J15">
            <v>88</v>
          </cell>
          <cell r="K15">
            <v>53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  <cell r="Q15">
            <v>4</v>
          </cell>
          <cell r="R15">
            <v>4</v>
          </cell>
          <cell r="S15">
            <v>21</v>
          </cell>
          <cell r="T15">
            <v>6</v>
          </cell>
          <cell r="U15">
            <v>3</v>
          </cell>
        </row>
        <row r="16">
          <cell r="B16" t="str">
            <v>春季聯賽</v>
          </cell>
          <cell r="C16">
            <v>15</v>
          </cell>
          <cell r="D16" t="str">
            <v>大學</v>
          </cell>
          <cell r="E16" t="str">
            <v>嘉義大學</v>
          </cell>
          <cell r="F16" t="str">
            <v>李振綸</v>
          </cell>
          <cell r="G16" t="str">
            <v>中繼</v>
          </cell>
          <cell r="H16">
            <v>2.3333333333333335</v>
          </cell>
          <cell r="I16">
            <v>133</v>
          </cell>
          <cell r="J16">
            <v>33</v>
          </cell>
          <cell r="K16">
            <v>21</v>
          </cell>
          <cell r="L16">
            <v>12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  <cell r="Q16">
            <v>0</v>
          </cell>
          <cell r="R16">
            <v>1</v>
          </cell>
          <cell r="S16">
            <v>8</v>
          </cell>
          <cell r="T16">
            <v>2</v>
          </cell>
          <cell r="U16">
            <v>4</v>
          </cell>
        </row>
        <row r="17">
          <cell r="B17" t="str">
            <v>春季聯賽</v>
          </cell>
          <cell r="C17">
            <v>16</v>
          </cell>
          <cell r="D17" t="str">
            <v>大學</v>
          </cell>
          <cell r="E17" t="str">
            <v>嘉義大學</v>
          </cell>
          <cell r="F17" t="str">
            <v>林誠恩</v>
          </cell>
          <cell r="G17" t="str">
            <v>中繼</v>
          </cell>
          <cell r="H17">
            <v>1</v>
          </cell>
          <cell r="I17">
            <v>144</v>
          </cell>
          <cell r="J17">
            <v>23</v>
          </cell>
          <cell r="K17">
            <v>11</v>
          </cell>
          <cell r="L17">
            <v>12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  <cell r="Q17">
            <v>1</v>
          </cell>
          <cell r="R17">
            <v>2</v>
          </cell>
          <cell r="S17">
            <v>6</v>
          </cell>
          <cell r="T17">
            <v>1</v>
          </cell>
          <cell r="U17">
            <v>1</v>
          </cell>
        </row>
        <row r="18">
          <cell r="B18" t="str">
            <v>春季聯賽</v>
          </cell>
          <cell r="C18">
            <v>17</v>
          </cell>
          <cell r="D18" t="str">
            <v>大學</v>
          </cell>
          <cell r="E18" t="str">
            <v>嘉義大學</v>
          </cell>
          <cell r="F18" t="str">
            <v>李雚喆</v>
          </cell>
          <cell r="G18" t="str">
            <v>後援</v>
          </cell>
          <cell r="H18">
            <v>0.33333333333333331</v>
          </cell>
          <cell r="I18">
            <v>137</v>
          </cell>
          <cell r="J18">
            <v>6</v>
          </cell>
          <cell r="K18">
            <v>4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0</v>
          </cell>
          <cell r="R18">
            <v>0</v>
          </cell>
          <cell r="S18">
            <v>2</v>
          </cell>
          <cell r="T18">
            <v>0</v>
          </cell>
          <cell r="U18">
            <v>1</v>
          </cell>
        </row>
        <row r="19">
          <cell r="B19" t="str">
            <v>春季聯賽</v>
          </cell>
          <cell r="C19">
            <v>18</v>
          </cell>
          <cell r="D19" t="str">
            <v>大學</v>
          </cell>
          <cell r="E19" t="str">
            <v>美和科大</v>
          </cell>
          <cell r="F19" t="str">
            <v>許少捷</v>
          </cell>
          <cell r="G19" t="str">
            <v>先發</v>
          </cell>
          <cell r="H19">
            <v>6</v>
          </cell>
          <cell r="I19">
            <v>144</v>
          </cell>
          <cell r="J19">
            <v>72</v>
          </cell>
          <cell r="K19">
            <v>43</v>
          </cell>
          <cell r="L19">
            <v>29</v>
          </cell>
          <cell r="M19">
            <v>1</v>
          </cell>
          <cell r="N19">
            <v>1</v>
          </cell>
          <cell r="O19">
            <v>0</v>
          </cell>
          <cell r="P19">
            <v>3</v>
          </cell>
          <cell r="Q19">
            <v>4</v>
          </cell>
          <cell r="R19">
            <v>2</v>
          </cell>
          <cell r="S19">
            <v>23</v>
          </cell>
          <cell r="T19">
            <v>4</v>
          </cell>
          <cell r="U19">
            <v>10</v>
          </cell>
        </row>
        <row r="20">
          <cell r="B20" t="str">
            <v>春季聯賽</v>
          </cell>
          <cell r="C20">
            <v>19</v>
          </cell>
          <cell r="D20" t="str">
            <v>大學</v>
          </cell>
          <cell r="E20" t="str">
            <v>美和科大</v>
          </cell>
          <cell r="F20" t="str">
            <v>邱承葦</v>
          </cell>
          <cell r="G20" t="str">
            <v>中繼</v>
          </cell>
          <cell r="H20">
            <v>3</v>
          </cell>
          <cell r="I20">
            <v>136</v>
          </cell>
          <cell r="J20">
            <v>39</v>
          </cell>
          <cell r="K20">
            <v>30</v>
          </cell>
          <cell r="L20">
            <v>9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3</v>
          </cell>
          <cell r="R20">
            <v>0</v>
          </cell>
          <cell r="S20">
            <v>10</v>
          </cell>
          <cell r="T20">
            <v>2</v>
          </cell>
          <cell r="U20">
            <v>4</v>
          </cell>
        </row>
        <row r="21">
          <cell r="B21" t="str">
            <v>春季聯賽</v>
          </cell>
          <cell r="C21">
            <v>20</v>
          </cell>
          <cell r="D21" t="str">
            <v>大學</v>
          </cell>
          <cell r="E21" t="str">
            <v>中華科大</v>
          </cell>
          <cell r="F21" t="str">
            <v>陳培安</v>
          </cell>
          <cell r="G21" t="str">
            <v>先發</v>
          </cell>
          <cell r="H21">
            <v>1.3333333333333333</v>
          </cell>
          <cell r="I21">
            <v>130</v>
          </cell>
          <cell r="J21">
            <v>38</v>
          </cell>
          <cell r="K21">
            <v>18</v>
          </cell>
          <cell r="L21">
            <v>20</v>
          </cell>
          <cell r="M21">
            <v>5</v>
          </cell>
          <cell r="N21">
            <v>5</v>
          </cell>
          <cell r="O21">
            <v>0</v>
          </cell>
          <cell r="P21">
            <v>4</v>
          </cell>
          <cell r="Q21">
            <v>1</v>
          </cell>
          <cell r="R21">
            <v>2</v>
          </cell>
          <cell r="S21">
            <v>10</v>
          </cell>
          <cell r="T21">
            <v>2</v>
          </cell>
          <cell r="U21">
            <v>1</v>
          </cell>
        </row>
        <row r="22">
          <cell r="B22" t="str">
            <v>春季聯賽</v>
          </cell>
          <cell r="C22">
            <v>21</v>
          </cell>
          <cell r="D22" t="str">
            <v>大學</v>
          </cell>
          <cell r="E22" t="str">
            <v>中華科大</v>
          </cell>
          <cell r="F22" t="str">
            <v>葉一鋐</v>
          </cell>
          <cell r="G22" t="str">
            <v>中繼</v>
          </cell>
          <cell r="H22">
            <v>5.666666666666667</v>
          </cell>
          <cell r="I22">
            <v>138</v>
          </cell>
          <cell r="J22">
            <v>74</v>
          </cell>
          <cell r="K22">
            <v>45</v>
          </cell>
          <cell r="L22">
            <v>29</v>
          </cell>
          <cell r="M22">
            <v>1</v>
          </cell>
          <cell r="N22">
            <v>0</v>
          </cell>
          <cell r="O22">
            <v>0</v>
          </cell>
          <cell r="P22">
            <v>4</v>
          </cell>
          <cell r="Q22">
            <v>5</v>
          </cell>
          <cell r="R22">
            <v>2</v>
          </cell>
          <cell r="S22">
            <v>24</v>
          </cell>
          <cell r="T22">
            <v>6</v>
          </cell>
          <cell r="U22">
            <v>7</v>
          </cell>
        </row>
        <row r="23">
          <cell r="B23" t="str">
            <v>春季聯賽</v>
          </cell>
          <cell r="C23">
            <v>22</v>
          </cell>
          <cell r="D23" t="str">
            <v>大學</v>
          </cell>
          <cell r="E23" t="str">
            <v>中華科大</v>
          </cell>
          <cell r="F23" t="str">
            <v>李冠中</v>
          </cell>
          <cell r="G23" t="str">
            <v>後援</v>
          </cell>
          <cell r="H23">
            <v>2</v>
          </cell>
          <cell r="I23">
            <v>133</v>
          </cell>
          <cell r="J23">
            <v>27</v>
          </cell>
          <cell r="K23">
            <v>16</v>
          </cell>
          <cell r="L23">
            <v>11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2</v>
          </cell>
          <cell r="R23">
            <v>1</v>
          </cell>
          <cell r="S23">
            <v>8</v>
          </cell>
          <cell r="T23">
            <v>3</v>
          </cell>
          <cell r="U23">
            <v>1</v>
          </cell>
        </row>
        <row r="24">
          <cell r="B24" t="str">
            <v>春季聯賽</v>
          </cell>
          <cell r="C24">
            <v>23</v>
          </cell>
          <cell r="D24" t="str">
            <v>大學</v>
          </cell>
          <cell r="E24" t="str">
            <v>台灣體大</v>
          </cell>
          <cell r="F24" t="str">
            <v>李雚喆</v>
          </cell>
          <cell r="G24" t="str">
            <v>先發</v>
          </cell>
          <cell r="H24">
            <v>4</v>
          </cell>
          <cell r="I24">
            <v>144</v>
          </cell>
          <cell r="J24">
            <v>71</v>
          </cell>
          <cell r="K24">
            <v>42</v>
          </cell>
          <cell r="L24">
            <v>29</v>
          </cell>
          <cell r="M24">
            <v>3</v>
          </cell>
          <cell r="N24">
            <v>3</v>
          </cell>
          <cell r="O24">
            <v>1</v>
          </cell>
          <cell r="P24">
            <v>3</v>
          </cell>
          <cell r="Q24">
            <v>3</v>
          </cell>
          <cell r="R24">
            <v>3</v>
          </cell>
          <cell r="S24">
            <v>18</v>
          </cell>
          <cell r="T24">
            <v>5</v>
          </cell>
          <cell r="U24">
            <v>3</v>
          </cell>
        </row>
        <row r="25">
          <cell r="B25" t="str">
            <v>春季聯賽</v>
          </cell>
          <cell r="C25">
            <v>24</v>
          </cell>
          <cell r="D25" t="str">
            <v>大學</v>
          </cell>
          <cell r="E25" t="str">
            <v>台灣體大</v>
          </cell>
          <cell r="F25" t="str">
            <v>李冠中</v>
          </cell>
          <cell r="G25" t="str">
            <v>中繼</v>
          </cell>
          <cell r="H25">
            <v>2.3333333333333335</v>
          </cell>
          <cell r="I25">
            <v>136</v>
          </cell>
          <cell r="J25">
            <v>41</v>
          </cell>
          <cell r="K25">
            <v>25</v>
          </cell>
          <cell r="L25">
            <v>16</v>
          </cell>
          <cell r="M25">
            <v>0</v>
          </cell>
          <cell r="N25">
            <v>0</v>
          </cell>
          <cell r="O25">
            <v>0</v>
          </cell>
          <cell r="P25">
            <v>5</v>
          </cell>
          <cell r="Q25">
            <v>1</v>
          </cell>
          <cell r="R25">
            <v>1</v>
          </cell>
          <cell r="S25">
            <v>12</v>
          </cell>
          <cell r="T25">
            <v>3</v>
          </cell>
          <cell r="U25">
            <v>2</v>
          </cell>
        </row>
        <row r="26">
          <cell r="B26" t="str">
            <v>春季聯賽</v>
          </cell>
          <cell r="C26">
            <v>25</v>
          </cell>
          <cell r="D26" t="str">
            <v>大學</v>
          </cell>
          <cell r="E26" t="str">
            <v>台灣體大</v>
          </cell>
          <cell r="F26" t="str">
            <v>葉一鋐</v>
          </cell>
          <cell r="G26" t="str">
            <v>中繼</v>
          </cell>
          <cell r="H26">
            <v>1</v>
          </cell>
          <cell r="I26">
            <v>137</v>
          </cell>
          <cell r="J26">
            <v>12</v>
          </cell>
          <cell r="K26">
            <v>4</v>
          </cell>
          <cell r="L26">
            <v>8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1</v>
          </cell>
          <cell r="S26">
            <v>3</v>
          </cell>
          <cell r="T26">
            <v>0</v>
          </cell>
          <cell r="U26">
            <v>2</v>
          </cell>
        </row>
        <row r="27">
          <cell r="B27" t="str">
            <v>春季聯賽</v>
          </cell>
          <cell r="C27">
            <v>26</v>
          </cell>
          <cell r="D27" t="str">
            <v>大學</v>
          </cell>
          <cell r="E27" t="str">
            <v>台灣體大</v>
          </cell>
          <cell r="F27" t="str">
            <v>李振綸</v>
          </cell>
          <cell r="G27" t="str">
            <v>中繼</v>
          </cell>
          <cell r="H27">
            <v>0.66666666666666663</v>
          </cell>
          <cell r="I27">
            <v>131</v>
          </cell>
          <cell r="J27">
            <v>7</v>
          </cell>
          <cell r="K27">
            <v>6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1</v>
          </cell>
          <cell r="R27">
            <v>0</v>
          </cell>
          <cell r="S27">
            <v>2</v>
          </cell>
          <cell r="T27">
            <v>0</v>
          </cell>
          <cell r="U27">
            <v>1</v>
          </cell>
        </row>
        <row r="28">
          <cell r="B28" t="str">
            <v>春季聯賽</v>
          </cell>
          <cell r="C28">
            <v>27</v>
          </cell>
          <cell r="D28" t="str">
            <v>大學</v>
          </cell>
          <cell r="E28" t="str">
            <v>台灣體大</v>
          </cell>
          <cell r="F28" t="str">
            <v>林誠恩</v>
          </cell>
          <cell r="G28" t="str">
            <v>後援</v>
          </cell>
          <cell r="H28">
            <v>1</v>
          </cell>
          <cell r="I28">
            <v>146</v>
          </cell>
          <cell r="J28">
            <v>12</v>
          </cell>
          <cell r="K28">
            <v>11</v>
          </cell>
          <cell r="L28">
            <v>1</v>
          </cell>
          <cell r="M28">
            <v>0</v>
          </cell>
          <cell r="N28">
            <v>0</v>
          </cell>
          <cell r="O28">
            <v>0</v>
          </cell>
          <cell r="P28">
            <v>1</v>
          </cell>
          <cell r="Q28">
            <v>1</v>
          </cell>
          <cell r="R28">
            <v>0</v>
          </cell>
          <cell r="S28">
            <v>4</v>
          </cell>
          <cell r="T28">
            <v>1</v>
          </cell>
          <cell r="U28">
            <v>1</v>
          </cell>
        </row>
        <row r="29">
          <cell r="B29" t="str">
            <v>春季聯賽</v>
          </cell>
          <cell r="C29">
            <v>28</v>
          </cell>
          <cell r="D29" t="str">
            <v>大學</v>
          </cell>
          <cell r="E29" t="str">
            <v>台鋼科大</v>
          </cell>
          <cell r="F29" t="str">
            <v>李聖韓</v>
          </cell>
          <cell r="G29" t="str">
            <v>先發</v>
          </cell>
          <cell r="H29">
            <v>3</v>
          </cell>
          <cell r="I29">
            <v>146</v>
          </cell>
          <cell r="J29">
            <v>52</v>
          </cell>
          <cell r="K29">
            <v>38</v>
          </cell>
          <cell r="L29">
            <v>16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6</v>
          </cell>
          <cell r="R29">
            <v>2</v>
          </cell>
          <cell r="S29">
            <v>11</v>
          </cell>
          <cell r="T29">
            <v>2</v>
          </cell>
          <cell r="U29">
            <v>1</v>
          </cell>
        </row>
        <row r="30">
          <cell r="B30" t="str">
            <v>春季聯賽</v>
          </cell>
          <cell r="C30">
            <v>29</v>
          </cell>
          <cell r="D30" t="str">
            <v>大學</v>
          </cell>
          <cell r="E30" t="str">
            <v>台鋼科大</v>
          </cell>
          <cell r="F30" t="str">
            <v>李振綸</v>
          </cell>
          <cell r="G30" t="str">
            <v>中繼</v>
          </cell>
          <cell r="H30">
            <v>2.6666666666666701</v>
          </cell>
          <cell r="I30">
            <v>133</v>
          </cell>
          <cell r="J30">
            <v>36</v>
          </cell>
          <cell r="K30">
            <v>24</v>
          </cell>
          <cell r="L30">
            <v>12</v>
          </cell>
          <cell r="M30">
            <v>0</v>
          </cell>
          <cell r="N30">
            <v>0</v>
          </cell>
          <cell r="O30">
            <v>0</v>
          </cell>
          <cell r="P30">
            <v>1</v>
          </cell>
          <cell r="Q30">
            <v>3</v>
          </cell>
          <cell r="R30">
            <v>1</v>
          </cell>
          <cell r="S30">
            <v>11</v>
          </cell>
          <cell r="T30">
            <v>3</v>
          </cell>
          <cell r="U30">
            <v>3</v>
          </cell>
        </row>
        <row r="31">
          <cell r="B31" t="str">
            <v>春季聯賽</v>
          </cell>
          <cell r="C31">
            <v>30</v>
          </cell>
          <cell r="D31" t="str">
            <v>大學</v>
          </cell>
          <cell r="E31" t="str">
            <v>台鋼科大</v>
          </cell>
          <cell r="F31" t="str">
            <v>林承恩</v>
          </cell>
          <cell r="G31" t="str">
            <v>後援</v>
          </cell>
          <cell r="H31">
            <v>3.3333333333333335</v>
          </cell>
          <cell r="I31">
            <v>140</v>
          </cell>
          <cell r="J31">
            <v>47</v>
          </cell>
          <cell r="K31">
            <v>34</v>
          </cell>
          <cell r="L31">
            <v>13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4</v>
          </cell>
          <cell r="R31">
            <v>1</v>
          </cell>
          <cell r="S31">
            <v>13</v>
          </cell>
          <cell r="T31">
            <v>4</v>
          </cell>
          <cell r="U31">
            <v>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7C7D-FD54-4633-802F-532E8424CEEA}">
  <dimension ref="A1:U31"/>
  <sheetViews>
    <sheetView tabSelected="1" topLeftCell="A9" zoomScale="82" workbookViewId="0">
      <selection activeCell="D32" sqref="D32"/>
    </sheetView>
  </sheetViews>
  <sheetFormatPr defaultRowHeight="16.2" x14ac:dyDescent="0.3"/>
  <cols>
    <col min="1" max="1" width="10.21875" bestFit="1" customWidth="1"/>
    <col min="8" max="8" width="10.109375" bestFit="1" customWidth="1"/>
  </cols>
  <sheetData>
    <row r="1" spans="1:21" x14ac:dyDescent="0.3">
      <c r="A1" t="str">
        <f>[1]團隊投球成績!A1</f>
        <v>日期</v>
      </c>
      <c r="B1" t="str">
        <f>[1]團隊投球成績!B1</f>
        <v>賽事性質</v>
      </c>
      <c r="C1" t="str">
        <f>[1]團隊投球成績!C1</f>
        <v>編號</v>
      </c>
      <c r="D1" t="str">
        <f>[1]團隊投球成績!D1</f>
        <v>層級</v>
      </c>
      <c r="E1" t="str">
        <f>[1]團隊投球成績!E1</f>
        <v>對手</v>
      </c>
      <c r="F1" t="str">
        <f>[1]團隊投球成績!F1</f>
        <v>出賽球員</v>
      </c>
      <c r="G1" t="str">
        <f>[1]團隊投球成績!G1</f>
        <v>登板型態</v>
      </c>
      <c r="H1" t="str">
        <f>[1]團隊投球成績!H1</f>
        <v>局數</v>
      </c>
      <c r="I1" t="str">
        <f>[1]團隊投球成績!I1</f>
        <v>最速</v>
      </c>
      <c r="J1" t="str">
        <f>[1]團隊投球成績!J1</f>
        <v>總球數</v>
      </c>
      <c r="K1" t="str">
        <f>[1]團隊投球成績!K1</f>
        <v>好球數</v>
      </c>
      <c r="L1" t="str">
        <f>[1]團隊投球成績!L1</f>
        <v>壞球數</v>
      </c>
      <c r="M1" t="str">
        <f>[1]團隊投球成績!M1</f>
        <v>總失分</v>
      </c>
      <c r="N1" t="str">
        <f>[1]團隊投球成績!N1</f>
        <v>自責分</v>
      </c>
      <c r="O1" t="str">
        <f>[1]團隊投球成績!O1</f>
        <v>被全壘打</v>
      </c>
      <c r="P1" t="str">
        <f>[1]團隊投球成績!P1</f>
        <v>被安打</v>
      </c>
      <c r="Q1" t="str">
        <f>[1]團隊投球成績!Q1</f>
        <v>奪三振</v>
      </c>
      <c r="R1" t="str">
        <f>[1]團隊投球成績!R1</f>
        <v>四死球</v>
      </c>
      <c r="S1" t="str">
        <f>[1]團隊投球成績!S1</f>
        <v>打者數</v>
      </c>
      <c r="T1" t="str">
        <f>[1]團隊投球成績!T1</f>
        <v>滾地球</v>
      </c>
      <c r="U1" t="str">
        <f>[1]團隊投球成績!U1</f>
        <v>飛球</v>
      </c>
    </row>
    <row r="2" spans="1:21" x14ac:dyDescent="0.3">
      <c r="A2" s="2">
        <v>46104</v>
      </c>
      <c r="B2" t="str">
        <f>[1]團隊投球成績!B2</f>
        <v>春季聯賽</v>
      </c>
      <c r="C2">
        <f>[1]團隊投球成績!C2</f>
        <v>1</v>
      </c>
      <c r="D2" t="str">
        <f>[1]團隊投球成績!D2</f>
        <v>大學</v>
      </c>
      <c r="E2" t="str">
        <f>[1]團隊投球成績!E2</f>
        <v>北市大</v>
      </c>
      <c r="F2" t="str">
        <f>[1]團隊投球成績!F2</f>
        <v>李聖韓</v>
      </c>
      <c r="G2" t="str">
        <f>[1]團隊投球成績!G2</f>
        <v>先發</v>
      </c>
      <c r="H2" s="1">
        <f>[1]團隊投球成績!H2</f>
        <v>1.6666666666666665</v>
      </c>
      <c r="I2">
        <f>[1]團隊投球成績!I2</f>
        <v>138</v>
      </c>
      <c r="J2">
        <f>[1]團隊投球成績!J2</f>
        <v>42</v>
      </c>
      <c r="K2">
        <f>[1]團隊投球成績!K2</f>
        <v>21</v>
      </c>
      <c r="L2">
        <f>[1]團隊投球成績!L2</f>
        <v>21</v>
      </c>
      <c r="M2">
        <f>[1]團隊投球成績!M2</f>
        <v>0</v>
      </c>
      <c r="N2">
        <f>[1]團隊投球成績!N2</f>
        <v>0</v>
      </c>
      <c r="O2">
        <f>[1]團隊投球成績!O2</f>
        <v>0</v>
      </c>
      <c r="P2">
        <f>[1]團隊投球成績!P2</f>
        <v>1</v>
      </c>
      <c r="Q2">
        <f>[1]團隊投球成績!Q2</f>
        <v>2</v>
      </c>
      <c r="R2">
        <f>[1]團隊投球成績!R2</f>
        <v>3</v>
      </c>
      <c r="S2">
        <f>[1]團隊投球成績!S2</f>
        <v>9</v>
      </c>
      <c r="T2">
        <f>[1]團隊投球成績!T2</f>
        <v>0</v>
      </c>
      <c r="U2">
        <f>[1]團隊投球成績!U2</f>
        <v>3</v>
      </c>
    </row>
    <row r="3" spans="1:21" x14ac:dyDescent="0.3">
      <c r="A3" s="2">
        <v>46104</v>
      </c>
      <c r="B3" t="str">
        <f>[1]團隊投球成績!B3</f>
        <v>春季聯賽</v>
      </c>
      <c r="C3">
        <f>[1]團隊投球成績!C3</f>
        <v>2</v>
      </c>
      <c r="D3" t="str">
        <f>[1]團隊投球成績!D3</f>
        <v>大學</v>
      </c>
      <c r="E3" t="str">
        <f>[1]團隊投球成績!E3</f>
        <v>北市大</v>
      </c>
      <c r="F3" t="str">
        <f>[1]團隊投球成績!F3</f>
        <v>李冠中</v>
      </c>
      <c r="G3" t="str">
        <f>[1]團隊投球成績!G3</f>
        <v>中繼</v>
      </c>
      <c r="H3" s="1">
        <f>[1]團隊投球成績!H3</f>
        <v>2.6666666666666665</v>
      </c>
      <c r="I3">
        <f>[1]團隊投球成績!I3</f>
        <v>132</v>
      </c>
      <c r="J3">
        <f>[1]團隊投球成績!J3</f>
        <v>53</v>
      </c>
      <c r="K3">
        <f>[1]團隊投球成績!K3</f>
        <v>35</v>
      </c>
      <c r="L3">
        <f>[1]團隊投球成績!L3</f>
        <v>18</v>
      </c>
      <c r="M3">
        <f>[1]團隊投球成績!M3</f>
        <v>2</v>
      </c>
      <c r="N3">
        <f>[1]團隊投球成績!N3</f>
        <v>2</v>
      </c>
      <c r="O3">
        <f>[1]團隊投球成績!O3</f>
        <v>0</v>
      </c>
      <c r="P3">
        <f>[1]團隊投球成績!P3</f>
        <v>4</v>
      </c>
      <c r="Q3">
        <f>[1]團隊投球成績!Q3</f>
        <v>2</v>
      </c>
      <c r="R3">
        <f>[1]團隊投球成績!R3</f>
        <v>1</v>
      </c>
      <c r="S3">
        <f>[1]團隊投球成績!S3</f>
        <v>14</v>
      </c>
      <c r="T3">
        <f>[1]團隊投球成績!T3</f>
        <v>2</v>
      </c>
      <c r="U3">
        <f>[1]團隊投球成績!U3</f>
        <v>5</v>
      </c>
    </row>
    <row r="4" spans="1:21" x14ac:dyDescent="0.3">
      <c r="A4" s="2">
        <v>46104</v>
      </c>
      <c r="B4" t="str">
        <f>[1]團隊投球成績!B4</f>
        <v>春季聯賽</v>
      </c>
      <c r="C4">
        <f>[1]團隊投球成績!C4</f>
        <v>3</v>
      </c>
      <c r="D4" t="str">
        <f>[1]團隊投球成績!D4</f>
        <v>大學</v>
      </c>
      <c r="E4" t="str">
        <f>[1]團隊投球成績!E4</f>
        <v>北市大</v>
      </c>
      <c r="F4" t="str">
        <f>[1]團隊投球成績!F4</f>
        <v>葉一鋐</v>
      </c>
      <c r="G4" t="str">
        <f>[1]團隊投球成績!G4</f>
        <v>中繼</v>
      </c>
      <c r="H4" s="1">
        <f>[1]團隊投球成績!H4</f>
        <v>1</v>
      </c>
      <c r="I4">
        <f>[1]團隊投球成績!I4</f>
        <v>139</v>
      </c>
      <c r="J4">
        <f>[1]團隊投球成績!J4</f>
        <v>22</v>
      </c>
      <c r="K4">
        <f>[1]團隊投球成績!K4</f>
        <v>12</v>
      </c>
      <c r="L4">
        <f>[1]團隊投球成績!L4</f>
        <v>10</v>
      </c>
      <c r="M4">
        <f>[1]團隊投球成績!M4</f>
        <v>2</v>
      </c>
      <c r="N4">
        <f>[1]團隊投球成績!N4</f>
        <v>2</v>
      </c>
      <c r="O4">
        <f>[1]團隊投球成績!O4</f>
        <v>0</v>
      </c>
      <c r="P4">
        <f>[1]團隊投球成績!P4</f>
        <v>3</v>
      </c>
      <c r="Q4">
        <f>[1]團隊投球成績!Q4</f>
        <v>2</v>
      </c>
      <c r="R4">
        <f>[1]團隊投球成績!R4</f>
        <v>0</v>
      </c>
      <c r="S4">
        <f>[1]團隊投球成績!S4</f>
        <v>6</v>
      </c>
      <c r="T4">
        <f>[1]團隊投球成績!T4</f>
        <v>1</v>
      </c>
      <c r="U4">
        <f>[1]團隊投球成績!U4</f>
        <v>0</v>
      </c>
    </row>
    <row r="5" spans="1:21" x14ac:dyDescent="0.3">
      <c r="A5" s="2">
        <v>46104</v>
      </c>
      <c r="B5" t="str">
        <f>[1]團隊投球成績!B5</f>
        <v>春季聯賽</v>
      </c>
      <c r="C5">
        <f>[1]團隊投球成績!C5</f>
        <v>4</v>
      </c>
      <c r="D5" t="str">
        <f>[1]團隊投球成績!D5</f>
        <v>大學</v>
      </c>
      <c r="E5" t="str">
        <f>[1]團隊投球成績!E5</f>
        <v>北市大</v>
      </c>
      <c r="F5" t="str">
        <f>[1]團隊投球成績!F5</f>
        <v>李振綸</v>
      </c>
      <c r="G5" t="str">
        <f>[1]團隊投球成績!G5</f>
        <v>中繼</v>
      </c>
      <c r="H5" s="1">
        <f>[1]團隊投球成績!H5</f>
        <v>1.6666666666666665</v>
      </c>
      <c r="I5">
        <f>[1]團隊投球成績!I5</f>
        <v>131</v>
      </c>
      <c r="J5">
        <f>[1]團隊投球成績!J5</f>
        <v>17</v>
      </c>
      <c r="K5">
        <f>[1]團隊投球成績!K5</f>
        <v>13</v>
      </c>
      <c r="L5">
        <f>[1]團隊投球成績!L5</f>
        <v>4</v>
      </c>
      <c r="M5">
        <f>[1]團隊投球成績!M5</f>
        <v>0</v>
      </c>
      <c r="N5">
        <f>[1]團隊投球成績!N5</f>
        <v>0</v>
      </c>
      <c r="O5">
        <f>[1]團隊投球成績!O5</f>
        <v>0</v>
      </c>
      <c r="P5">
        <f>[1]團隊投球成績!P5</f>
        <v>0</v>
      </c>
      <c r="Q5">
        <f>[1]團隊投球成績!Q5</f>
        <v>0</v>
      </c>
      <c r="R5">
        <f>[1]團隊投球成績!R5</f>
        <v>0</v>
      </c>
      <c r="S5">
        <f>[1]團隊投球成績!S5</f>
        <v>5</v>
      </c>
      <c r="T5">
        <f>[1]團隊投球成績!T5</f>
        <v>2</v>
      </c>
      <c r="U5">
        <f>[1]團隊投球成績!U5</f>
        <v>3</v>
      </c>
    </row>
    <row r="6" spans="1:21" x14ac:dyDescent="0.3">
      <c r="A6" s="2">
        <v>46104</v>
      </c>
      <c r="B6" t="str">
        <f>[1]團隊投球成績!B6</f>
        <v>春季聯賽</v>
      </c>
      <c r="C6">
        <f>[1]團隊投球成績!C6</f>
        <v>5</v>
      </c>
      <c r="D6" t="str">
        <f>[1]團隊投球成績!D6</f>
        <v>大學</v>
      </c>
      <c r="E6" t="str">
        <f>[1]團隊投球成績!E6</f>
        <v>北市大</v>
      </c>
      <c r="F6" t="str">
        <f>[1]團隊投球成績!F6</f>
        <v>林誠恩</v>
      </c>
      <c r="G6" t="str">
        <f>[1]團隊投球成績!G6</f>
        <v>後援</v>
      </c>
      <c r="H6" s="1">
        <f>[1]團隊投球成績!H6</f>
        <v>2</v>
      </c>
      <c r="I6">
        <f>[1]團隊投球成績!I6</f>
        <v>142</v>
      </c>
      <c r="J6">
        <f>[1]團隊投球成績!J6</f>
        <v>24</v>
      </c>
      <c r="K6">
        <f>[1]團隊投球成績!K6</f>
        <v>15</v>
      </c>
      <c r="L6">
        <f>[1]團隊投球成績!L6</f>
        <v>9</v>
      </c>
      <c r="M6">
        <f>[1]團隊投球成績!M6</f>
        <v>1</v>
      </c>
      <c r="N6">
        <f>[1]團隊投球成績!N6</f>
        <v>1</v>
      </c>
      <c r="O6">
        <f>[1]團隊投球成績!O6</f>
        <v>0</v>
      </c>
      <c r="P6">
        <f>[1]團隊投球成績!P6</f>
        <v>2</v>
      </c>
      <c r="Q6">
        <f>[1]團隊投球成績!Q6</f>
        <v>0</v>
      </c>
      <c r="R6">
        <f>[1]團隊投球成績!R6</f>
        <v>1</v>
      </c>
      <c r="S6">
        <f>[1]團隊投球成績!S6</f>
        <v>8</v>
      </c>
      <c r="T6">
        <f>[1]團隊投球成績!T6</f>
        <v>3</v>
      </c>
      <c r="U6">
        <f>[1]團隊投球成績!U6</f>
        <v>1</v>
      </c>
    </row>
    <row r="7" spans="1:21" x14ac:dyDescent="0.3">
      <c r="A7" s="2">
        <v>46105</v>
      </c>
      <c r="B7" t="str">
        <f>[1]團隊投球成績!B7</f>
        <v>春季聯賽</v>
      </c>
      <c r="C7">
        <f>[1]團隊投球成績!C7</f>
        <v>6</v>
      </c>
      <c r="D7" t="str">
        <f>[1]團隊投球成績!D7</f>
        <v>大學</v>
      </c>
      <c r="E7" t="str">
        <f>[1]團隊投球成績!E7</f>
        <v>高雄大學</v>
      </c>
      <c r="F7" t="str">
        <f>[1]團隊投球成績!F7</f>
        <v>許少捷</v>
      </c>
      <c r="G7" t="str">
        <f>[1]團隊投球成績!G7</f>
        <v>先發</v>
      </c>
      <c r="H7" s="1">
        <f>[1]團隊投球成績!H7</f>
        <v>3</v>
      </c>
      <c r="I7">
        <f>[1]團隊投球成績!I7</f>
        <v>143</v>
      </c>
      <c r="J7">
        <f>[1]團隊投球成績!J7</f>
        <v>62</v>
      </c>
      <c r="K7">
        <f>[1]團隊投球成績!K7</f>
        <v>34</v>
      </c>
      <c r="L7">
        <f>[1]團隊投球成績!L7</f>
        <v>28</v>
      </c>
      <c r="M7">
        <f>[1]團隊投球成績!M7</f>
        <v>3</v>
      </c>
      <c r="N7">
        <f>[1]團隊投球成績!N7</f>
        <v>3</v>
      </c>
      <c r="O7">
        <f>[1]團隊投球成績!O7</f>
        <v>0</v>
      </c>
      <c r="P7">
        <f>[1]團隊投球成績!P7</f>
        <v>4</v>
      </c>
      <c r="Q7">
        <f>[1]團隊投球成績!Q7</f>
        <v>4</v>
      </c>
      <c r="R7">
        <f>[1]團隊投球成績!R7</f>
        <v>3</v>
      </c>
      <c r="S7">
        <f>[1]團隊投球成績!S7</f>
        <v>15</v>
      </c>
      <c r="T7">
        <f>[1]團隊投球成績!T7</f>
        <v>4</v>
      </c>
      <c r="U7">
        <f>[1]團隊投球成績!U7</f>
        <v>0</v>
      </c>
    </row>
    <row r="8" spans="1:21" x14ac:dyDescent="0.3">
      <c r="A8" s="2">
        <v>46105</v>
      </c>
      <c r="B8" t="str">
        <f>[1]團隊投球成績!B8</f>
        <v>春季聯賽</v>
      </c>
      <c r="C8">
        <f>[1]團隊投球成績!C8</f>
        <v>7</v>
      </c>
      <c r="D8" t="str">
        <f>[1]團隊投球成績!D8</f>
        <v>大學</v>
      </c>
      <c r="E8" t="str">
        <f>[1]團隊投球成績!E8</f>
        <v>高雄大學</v>
      </c>
      <c r="F8" t="str">
        <f>[1]團隊投球成績!F8</f>
        <v>邱承葦</v>
      </c>
      <c r="G8" t="str">
        <f>[1]團隊投球成績!G8</f>
        <v>中繼</v>
      </c>
      <c r="H8" s="1">
        <f>[1]團隊投球成績!H8</f>
        <v>3</v>
      </c>
      <c r="I8">
        <f>[1]團隊投球成績!I8</f>
        <v>135</v>
      </c>
      <c r="J8">
        <f>[1]團隊投球成績!J8</f>
        <v>37</v>
      </c>
      <c r="K8">
        <f>[1]團隊投球成績!K8</f>
        <v>26</v>
      </c>
      <c r="L8">
        <f>[1]團隊投球成績!L8</f>
        <v>11</v>
      </c>
      <c r="M8">
        <f>[1]團隊投球成績!M8</f>
        <v>1</v>
      </c>
      <c r="N8">
        <f>[1]團隊投球成績!N8</f>
        <v>1</v>
      </c>
      <c r="O8">
        <f>[1]團隊投球成績!O8</f>
        <v>0</v>
      </c>
      <c r="P8">
        <f>[1]團隊投球成績!P8</f>
        <v>4</v>
      </c>
      <c r="Q8">
        <f>[1]團隊投球成績!Q8</f>
        <v>2</v>
      </c>
      <c r="R8">
        <f>[1]團隊投球成績!R8</f>
        <v>0</v>
      </c>
      <c r="S8">
        <f>[1]團隊投球成績!S8</f>
        <v>12</v>
      </c>
      <c r="T8">
        <f>[1]團隊投球成績!T8</f>
        <v>0</v>
      </c>
      <c r="U8">
        <f>[1]團隊投球成績!U8</f>
        <v>6</v>
      </c>
    </row>
    <row r="9" spans="1:21" x14ac:dyDescent="0.3">
      <c r="A9" s="2">
        <v>46105</v>
      </c>
      <c r="B9" t="str">
        <f>[1]團隊投球成績!B9</f>
        <v>春季聯賽</v>
      </c>
      <c r="C9">
        <f>[1]團隊投球成績!C9</f>
        <v>8</v>
      </c>
      <c r="D9" t="str">
        <f>[1]團隊投球成績!D9</f>
        <v>大學</v>
      </c>
      <c r="E9" t="str">
        <f>[1]團隊投球成績!E9</f>
        <v>高雄大學</v>
      </c>
      <c r="F9" t="str">
        <f>[1]團隊投球成績!F9</f>
        <v>王弘彥</v>
      </c>
      <c r="G9" t="str">
        <f>[1]團隊投球成績!G9</f>
        <v>後援</v>
      </c>
      <c r="H9" s="1">
        <f>[1]團隊投球成績!H9</f>
        <v>1</v>
      </c>
      <c r="I9">
        <f>[1]團隊投球成績!I9</f>
        <v>130</v>
      </c>
      <c r="J9">
        <f>[1]團隊投球成績!J9</f>
        <v>10</v>
      </c>
      <c r="K9">
        <f>[1]團隊投球成績!K9</f>
        <v>7</v>
      </c>
      <c r="L9">
        <f>[1]團隊投球成績!L9</f>
        <v>3</v>
      </c>
      <c r="M9">
        <f>[1]團隊投球成績!M9</f>
        <v>0</v>
      </c>
      <c r="N9">
        <f>[1]團隊投球成績!N9</f>
        <v>0</v>
      </c>
      <c r="O9">
        <f>[1]團隊投球成績!O9</f>
        <v>0</v>
      </c>
      <c r="P9">
        <f>[1]團隊投球成績!P9</f>
        <v>0</v>
      </c>
      <c r="Q9">
        <f>[1]團隊投球成績!Q9</f>
        <v>1</v>
      </c>
      <c r="R9">
        <f>[1]團隊投球成績!R9</f>
        <v>0</v>
      </c>
      <c r="S9">
        <f>[1]團隊投球成績!S9</f>
        <v>4</v>
      </c>
      <c r="T9">
        <f>[1]團隊投球成績!T9</f>
        <v>1</v>
      </c>
      <c r="U9">
        <f>[1]團隊投球成績!U9</f>
        <v>1</v>
      </c>
    </row>
    <row r="10" spans="1:21" x14ac:dyDescent="0.3">
      <c r="A10" s="2">
        <v>46106</v>
      </c>
      <c r="B10" t="str">
        <f>[1]團隊投球成績!B10</f>
        <v>春季聯賽</v>
      </c>
      <c r="C10">
        <f>[1]團隊投球成績!C10</f>
        <v>9</v>
      </c>
      <c r="D10" t="str">
        <f>[1]團隊投球成績!D10</f>
        <v>大學</v>
      </c>
      <c r="E10" t="str">
        <f>[1]團隊投球成績!E10</f>
        <v>明新科大</v>
      </c>
      <c r="F10" t="str">
        <f>[1]團隊投球成績!F10</f>
        <v>張甯翔</v>
      </c>
      <c r="G10" t="str">
        <f>[1]團隊投球成績!G10</f>
        <v>先發</v>
      </c>
      <c r="H10" s="1">
        <f>[1]團隊投球成績!H10</f>
        <v>5</v>
      </c>
      <c r="I10">
        <f>[1]團隊投球成績!I10</f>
        <v>134</v>
      </c>
      <c r="J10">
        <f>[1]團隊投球成績!J10</f>
        <v>61</v>
      </c>
      <c r="K10">
        <f>[1]團隊投球成績!K10</f>
        <v>46</v>
      </c>
      <c r="L10">
        <f>[1]團隊投球成績!L10</f>
        <v>15</v>
      </c>
      <c r="M10">
        <f>[1]團隊投球成績!M10</f>
        <v>0</v>
      </c>
      <c r="N10">
        <f>[1]團隊投球成績!N10</f>
        <v>0</v>
      </c>
      <c r="O10">
        <f>[1]團隊投球成績!O10</f>
        <v>0</v>
      </c>
      <c r="P10">
        <f>[1]團隊投球成績!P10</f>
        <v>2</v>
      </c>
      <c r="Q10">
        <f>[1]團隊投球成績!Q10</f>
        <v>9</v>
      </c>
      <c r="R10">
        <f>[1]團隊投球成績!R10</f>
        <v>0</v>
      </c>
      <c r="S10">
        <f>[1]團隊投球成績!S10</f>
        <v>18</v>
      </c>
      <c r="T10">
        <f>[1]團隊投球成績!T10</f>
        <v>2</v>
      </c>
      <c r="U10">
        <f>[1]團隊投球成績!U10</f>
        <v>4</v>
      </c>
    </row>
    <row r="11" spans="1:21" x14ac:dyDescent="0.3">
      <c r="A11" s="2">
        <v>46106</v>
      </c>
      <c r="B11" t="str">
        <f>[1]團隊投球成績!B11</f>
        <v>春季聯賽</v>
      </c>
      <c r="C11">
        <f>[1]團隊投球成績!C11</f>
        <v>10</v>
      </c>
      <c r="D11" t="str">
        <f>[1]團隊投球成績!D11</f>
        <v>大學</v>
      </c>
      <c r="E11" t="str">
        <f>[1]團隊投球成績!E11</f>
        <v>明新科大</v>
      </c>
      <c r="F11" t="str">
        <f>[1]團隊投球成績!F11</f>
        <v>林承恩</v>
      </c>
      <c r="G11" t="str">
        <f>[1]團隊投球成績!G11</f>
        <v>中繼</v>
      </c>
      <c r="H11" s="1">
        <f>[1]團隊投球成績!H11</f>
        <v>2</v>
      </c>
      <c r="I11">
        <f>[1]團隊投球成績!I11</f>
        <v>143</v>
      </c>
      <c r="J11">
        <f>[1]團隊投球成績!J11</f>
        <v>23</v>
      </c>
      <c r="K11">
        <f>[1]團隊投球成績!K11</f>
        <v>19</v>
      </c>
      <c r="L11">
        <f>[1]團隊投球成績!L11</f>
        <v>4</v>
      </c>
      <c r="M11">
        <f>[1]團隊投球成績!M11</f>
        <v>0</v>
      </c>
      <c r="N11">
        <f>[1]團隊投球成績!N11</f>
        <v>0</v>
      </c>
      <c r="O11">
        <f>[1]團隊投球成績!O11</f>
        <v>0</v>
      </c>
      <c r="P11">
        <f>[1]團隊投球成績!P11</f>
        <v>1</v>
      </c>
      <c r="Q11">
        <f>[1]團隊投球成績!Q11</f>
        <v>3</v>
      </c>
      <c r="R11">
        <f>[1]團隊投球成績!R11</f>
        <v>0</v>
      </c>
      <c r="S11">
        <f>[1]團隊投球成績!S11</f>
        <v>7</v>
      </c>
      <c r="T11">
        <f>[1]團隊投球成績!T11</f>
        <v>1</v>
      </c>
      <c r="U11">
        <f>[1]團隊投球成績!U11</f>
        <v>2</v>
      </c>
    </row>
    <row r="12" spans="1:21" x14ac:dyDescent="0.3">
      <c r="A12" s="2">
        <v>46107</v>
      </c>
      <c r="B12" t="str">
        <f>[1]團隊投球成績!B12</f>
        <v>春季聯賽</v>
      </c>
      <c r="C12">
        <f>[1]團隊投球成績!C12</f>
        <v>11</v>
      </c>
      <c r="D12" t="str">
        <f>[1]團隊投球成績!D12</f>
        <v>大學</v>
      </c>
      <c r="E12" t="str">
        <f>[1]團隊投球成績!E12</f>
        <v>長榮大學</v>
      </c>
      <c r="F12" t="str">
        <f>[1]團隊投球成績!F12</f>
        <v>陳培安</v>
      </c>
      <c r="G12" t="str">
        <f>[1]團隊投球成績!G12</f>
        <v>先發</v>
      </c>
      <c r="H12" s="1">
        <f>[1]團隊投球成績!H12</f>
        <v>4.333333333333333</v>
      </c>
      <c r="I12">
        <f>[1]團隊投球成績!I12</f>
        <v>134</v>
      </c>
      <c r="J12">
        <f>[1]團隊投球成績!J12</f>
        <v>99</v>
      </c>
      <c r="K12">
        <f>[1]團隊投球成績!K12</f>
        <v>52</v>
      </c>
      <c r="L12">
        <f>[1]團隊投球成績!L12</f>
        <v>47</v>
      </c>
      <c r="M12">
        <f>[1]團隊投球成績!M12</f>
        <v>2</v>
      </c>
      <c r="N12">
        <f>[1]團隊投球成績!N12</f>
        <v>1</v>
      </c>
      <c r="O12">
        <f>[1]團隊投球成績!O12</f>
        <v>0</v>
      </c>
      <c r="P12">
        <f>[1]團隊投球成績!P12</f>
        <v>4</v>
      </c>
      <c r="Q12">
        <f>[1]團隊投球成績!Q12</f>
        <v>2</v>
      </c>
      <c r="R12">
        <f>[1]團隊投球成績!R12</f>
        <v>5</v>
      </c>
      <c r="S12">
        <f>[1]團隊投球成績!S12</f>
        <v>23</v>
      </c>
      <c r="T12">
        <f>[1]團隊投球成績!T12</f>
        <v>11</v>
      </c>
      <c r="U12">
        <f>[1]團隊投球成績!U12</f>
        <v>1</v>
      </c>
    </row>
    <row r="13" spans="1:21" x14ac:dyDescent="0.3">
      <c r="A13" s="2">
        <v>46107</v>
      </c>
      <c r="B13" t="str">
        <f>[1]團隊投球成績!B13</f>
        <v>春季聯賽</v>
      </c>
      <c r="C13">
        <f>[1]團隊投球成績!C13</f>
        <v>12</v>
      </c>
      <c r="D13" t="str">
        <f>[1]團隊投球成績!D13</f>
        <v>大學</v>
      </c>
      <c r="E13" t="str">
        <f>[1]團隊投球成績!E13</f>
        <v>長榮大學</v>
      </c>
      <c r="F13" t="str">
        <f>[1]團隊投球成績!F13</f>
        <v>王弘彥</v>
      </c>
      <c r="G13" t="str">
        <f>[1]團隊投球成績!G13</f>
        <v>中繼</v>
      </c>
      <c r="H13" s="1">
        <f>[1]團隊投球成績!H13</f>
        <v>1.3333333333333333</v>
      </c>
      <c r="I13">
        <f>[1]團隊投球成績!I13</f>
        <v>132</v>
      </c>
      <c r="J13">
        <f>[1]團隊投球成績!J13</f>
        <v>36</v>
      </c>
      <c r="K13">
        <f>[1]團隊投球成績!K13</f>
        <v>20</v>
      </c>
      <c r="L13">
        <f>[1]團隊投球成績!L13</f>
        <v>16</v>
      </c>
      <c r="M13">
        <f>[1]團隊投球成績!M13</f>
        <v>2</v>
      </c>
      <c r="N13">
        <f>[1]團隊投球成績!N13</f>
        <v>2</v>
      </c>
      <c r="O13">
        <f>[1]團隊投球成績!O13</f>
        <v>0</v>
      </c>
      <c r="P13">
        <f>[1]團隊投球成績!P13</f>
        <v>2</v>
      </c>
      <c r="Q13">
        <f>[1]團隊投球成績!Q13</f>
        <v>4</v>
      </c>
      <c r="R13">
        <f>[1]團隊投球成績!R13</f>
        <v>2</v>
      </c>
      <c r="S13">
        <f>[1]團隊投球成績!S13</f>
        <v>8</v>
      </c>
      <c r="T13">
        <f>[1]團隊投球成績!T13</f>
        <v>0</v>
      </c>
      <c r="U13">
        <f>[1]團隊投球成績!U13</f>
        <v>0</v>
      </c>
    </row>
    <row r="14" spans="1:21" x14ac:dyDescent="0.3">
      <c r="A14" s="2">
        <v>46107</v>
      </c>
      <c r="B14" t="str">
        <f>[1]團隊投球成績!B14</f>
        <v>春季聯賽</v>
      </c>
      <c r="C14">
        <f>[1]團隊投球成績!C14</f>
        <v>13</v>
      </c>
      <c r="D14" t="str">
        <f>[1]團隊投球成績!D14</f>
        <v>大學</v>
      </c>
      <c r="E14" t="str">
        <f>[1]團隊投球成績!E14</f>
        <v>長榮大學</v>
      </c>
      <c r="F14" t="str">
        <f>[1]團隊投球成績!F14</f>
        <v>李雚喆</v>
      </c>
      <c r="G14" t="str">
        <f>[1]團隊投球成績!G14</f>
        <v>後援</v>
      </c>
      <c r="H14" s="1">
        <f>[1]團隊投球成績!H14</f>
        <v>1.3333333333333333</v>
      </c>
      <c r="I14">
        <f>[1]團隊投球成績!I14</f>
        <v>143</v>
      </c>
      <c r="J14">
        <f>[1]團隊投球成績!J14</f>
        <v>16</v>
      </c>
      <c r="K14">
        <f>[1]團隊投球成績!K14</f>
        <v>10</v>
      </c>
      <c r="L14">
        <f>[1]團隊投球成績!L14</f>
        <v>6</v>
      </c>
      <c r="M14">
        <f>[1]團隊投球成績!M14</f>
        <v>0</v>
      </c>
      <c r="N14">
        <f>[1]團隊投球成績!N14</f>
        <v>0</v>
      </c>
      <c r="O14">
        <f>[1]團隊投球成績!O14</f>
        <v>0</v>
      </c>
      <c r="P14">
        <f>[1]團隊投球成績!P14</f>
        <v>0</v>
      </c>
      <c r="Q14">
        <f>[1]團隊投球成績!Q14</f>
        <v>3</v>
      </c>
      <c r="R14">
        <f>[1]團隊投球成績!R14</f>
        <v>0</v>
      </c>
      <c r="S14">
        <f>[1]團隊投球成績!S14</f>
        <v>4</v>
      </c>
      <c r="T14">
        <f>[1]團隊投球成績!T14</f>
        <v>0</v>
      </c>
      <c r="U14">
        <f>[1]團隊投球成績!U14</f>
        <v>1</v>
      </c>
    </row>
    <row r="15" spans="1:21" x14ac:dyDescent="0.3">
      <c r="A15" s="2">
        <v>46120</v>
      </c>
      <c r="B15" t="str">
        <f>[1]團隊投球成績!B15</f>
        <v>春季聯賽</v>
      </c>
      <c r="C15">
        <f>[1]團隊投球成績!C15</f>
        <v>14</v>
      </c>
      <c r="D15" t="str">
        <f>[1]團隊投球成績!D15</f>
        <v>大學</v>
      </c>
      <c r="E15" t="str">
        <f>[1]團隊投球成績!E15</f>
        <v>嘉義大學</v>
      </c>
      <c r="F15" t="str">
        <f>[1]團隊投球成績!F15</f>
        <v>林承恩</v>
      </c>
      <c r="G15" t="str">
        <f>[1]團隊投球成績!G15</f>
        <v>先發</v>
      </c>
      <c r="H15" s="1">
        <f>[1]團隊投球成績!H15</f>
        <v>5.333333333333333</v>
      </c>
      <c r="I15">
        <f>[1]團隊投球成績!I15</f>
        <v>138</v>
      </c>
      <c r="J15">
        <f>[1]團隊投球成績!J15</f>
        <v>88</v>
      </c>
      <c r="K15">
        <f>[1]團隊投球成績!K15</f>
        <v>53</v>
      </c>
      <c r="L15">
        <f>[1]團隊投球成績!L15</f>
        <v>35</v>
      </c>
      <c r="M15">
        <f>[1]團隊投球成績!M15</f>
        <v>0</v>
      </c>
      <c r="N15">
        <f>[1]團隊投球成績!N15</f>
        <v>0</v>
      </c>
      <c r="O15">
        <f>[1]團隊投球成績!O15</f>
        <v>0</v>
      </c>
      <c r="P15">
        <f>[1]團隊投球成績!P15</f>
        <v>4</v>
      </c>
      <c r="Q15">
        <f>[1]團隊投球成績!Q15</f>
        <v>4</v>
      </c>
      <c r="R15">
        <f>[1]團隊投球成績!R15</f>
        <v>4</v>
      </c>
      <c r="S15">
        <f>[1]團隊投球成績!S15</f>
        <v>21</v>
      </c>
      <c r="T15">
        <f>[1]團隊投球成績!T15</f>
        <v>6</v>
      </c>
      <c r="U15">
        <f>[1]團隊投球成績!U15</f>
        <v>3</v>
      </c>
    </row>
    <row r="16" spans="1:21" x14ac:dyDescent="0.3">
      <c r="A16" s="2">
        <v>46120</v>
      </c>
      <c r="B16" t="str">
        <f>[1]團隊投球成績!B16</f>
        <v>春季聯賽</v>
      </c>
      <c r="C16">
        <f>[1]團隊投球成績!C16</f>
        <v>15</v>
      </c>
      <c r="D16" t="str">
        <f>[1]團隊投球成績!D16</f>
        <v>大學</v>
      </c>
      <c r="E16" t="str">
        <f>[1]團隊投球成績!E16</f>
        <v>嘉義大學</v>
      </c>
      <c r="F16" t="str">
        <f>[1]團隊投球成績!F16</f>
        <v>李振綸</v>
      </c>
      <c r="G16" t="str">
        <f>[1]團隊投球成績!G16</f>
        <v>中繼</v>
      </c>
      <c r="H16" s="1">
        <f>[1]團隊投球成績!H16</f>
        <v>2.3333333333333335</v>
      </c>
      <c r="I16">
        <f>[1]團隊投球成績!I16</f>
        <v>133</v>
      </c>
      <c r="J16">
        <f>[1]團隊投球成績!J16</f>
        <v>33</v>
      </c>
      <c r="K16">
        <f>[1]團隊投球成績!K16</f>
        <v>21</v>
      </c>
      <c r="L16">
        <f>[1]團隊投球成績!L16</f>
        <v>12</v>
      </c>
      <c r="M16">
        <f>[1]團隊投球成績!M16</f>
        <v>1</v>
      </c>
      <c r="N16">
        <f>[1]團隊投球成績!N16</f>
        <v>1</v>
      </c>
      <c r="O16">
        <f>[1]團隊投球成績!O16</f>
        <v>0</v>
      </c>
      <c r="P16">
        <f>[1]團隊投球成績!P16</f>
        <v>1</v>
      </c>
      <c r="Q16">
        <f>[1]團隊投球成績!Q16</f>
        <v>0</v>
      </c>
      <c r="R16">
        <f>[1]團隊投球成績!R16</f>
        <v>1</v>
      </c>
      <c r="S16">
        <f>[1]團隊投球成績!S16</f>
        <v>8</v>
      </c>
      <c r="T16">
        <f>[1]團隊投球成績!T16</f>
        <v>2</v>
      </c>
      <c r="U16">
        <f>[1]團隊投球成績!U16</f>
        <v>4</v>
      </c>
    </row>
    <row r="17" spans="1:21" x14ac:dyDescent="0.3">
      <c r="A17" s="2">
        <v>46120</v>
      </c>
      <c r="B17" t="str">
        <f>[1]團隊投球成績!B17</f>
        <v>春季聯賽</v>
      </c>
      <c r="C17">
        <f>[1]團隊投球成績!C17</f>
        <v>16</v>
      </c>
      <c r="D17" t="str">
        <f>[1]團隊投球成績!D17</f>
        <v>大學</v>
      </c>
      <c r="E17" t="str">
        <f>[1]團隊投球成績!E17</f>
        <v>嘉義大學</v>
      </c>
      <c r="F17" t="str">
        <f>[1]團隊投球成績!F17</f>
        <v>林誠恩</v>
      </c>
      <c r="G17" t="str">
        <f>[1]團隊投球成績!G17</f>
        <v>中繼</v>
      </c>
      <c r="H17" s="1">
        <f>[1]團隊投球成績!H17</f>
        <v>1</v>
      </c>
      <c r="I17">
        <f>[1]團隊投球成績!I17</f>
        <v>144</v>
      </c>
      <c r="J17">
        <f>[1]團隊投球成績!J17</f>
        <v>23</v>
      </c>
      <c r="K17">
        <f>[1]團隊投球成績!K17</f>
        <v>11</v>
      </c>
      <c r="L17">
        <f>[1]團隊投球成績!L17</f>
        <v>12</v>
      </c>
      <c r="M17">
        <f>[1]團隊投球成績!M17</f>
        <v>1</v>
      </c>
      <c r="N17">
        <f>[1]團隊投球成績!N17</f>
        <v>1</v>
      </c>
      <c r="O17">
        <f>[1]團隊投球成績!O17</f>
        <v>0</v>
      </c>
      <c r="P17">
        <f>[1]團隊投球成績!P17</f>
        <v>1</v>
      </c>
      <c r="Q17">
        <f>[1]團隊投球成績!Q17</f>
        <v>1</v>
      </c>
      <c r="R17">
        <f>[1]團隊投球成績!R17</f>
        <v>2</v>
      </c>
      <c r="S17">
        <f>[1]團隊投球成績!S17</f>
        <v>6</v>
      </c>
      <c r="T17">
        <f>[1]團隊投球成績!T17</f>
        <v>1</v>
      </c>
      <c r="U17">
        <f>[1]團隊投球成績!U17</f>
        <v>1</v>
      </c>
    </row>
    <row r="18" spans="1:21" x14ac:dyDescent="0.3">
      <c r="A18" s="2">
        <v>46120</v>
      </c>
      <c r="B18" t="str">
        <f>[1]團隊投球成績!B18</f>
        <v>春季聯賽</v>
      </c>
      <c r="C18">
        <f>[1]團隊投球成績!C18</f>
        <v>17</v>
      </c>
      <c r="D18" t="str">
        <f>[1]團隊投球成績!D18</f>
        <v>大學</v>
      </c>
      <c r="E18" t="str">
        <f>[1]團隊投球成績!E18</f>
        <v>嘉義大學</v>
      </c>
      <c r="F18" t="str">
        <f>[1]團隊投球成績!F18</f>
        <v>李雚喆</v>
      </c>
      <c r="G18" t="str">
        <f>[1]團隊投球成績!G18</f>
        <v>後援</v>
      </c>
      <c r="H18" s="1">
        <f>[1]團隊投球成績!H18</f>
        <v>0.33333333333333331</v>
      </c>
      <c r="I18">
        <f>[1]團隊投球成績!I18</f>
        <v>137</v>
      </c>
      <c r="J18">
        <f>[1]團隊投球成績!J18</f>
        <v>6</v>
      </c>
      <c r="K18">
        <f>[1]團隊投球成績!K18</f>
        <v>4</v>
      </c>
      <c r="L18">
        <f>[1]團隊投球成績!L18</f>
        <v>2</v>
      </c>
      <c r="M18">
        <f>[1]團隊投球成績!M18</f>
        <v>0</v>
      </c>
      <c r="N18">
        <f>[1]團隊投球成績!N18</f>
        <v>0</v>
      </c>
      <c r="O18">
        <f>[1]團隊投球成績!O18</f>
        <v>0</v>
      </c>
      <c r="P18">
        <f>[1]團隊投球成績!P18</f>
        <v>1</v>
      </c>
      <c r="Q18">
        <f>[1]團隊投球成績!Q18</f>
        <v>0</v>
      </c>
      <c r="R18">
        <f>[1]團隊投球成績!R18</f>
        <v>0</v>
      </c>
      <c r="S18">
        <f>[1]團隊投球成績!S18</f>
        <v>2</v>
      </c>
      <c r="T18">
        <f>[1]團隊投球成績!T18</f>
        <v>0</v>
      </c>
      <c r="U18">
        <f>[1]團隊投球成績!U18</f>
        <v>1</v>
      </c>
    </row>
    <row r="19" spans="1:21" x14ac:dyDescent="0.3">
      <c r="A19" s="2">
        <v>46121</v>
      </c>
      <c r="B19" t="str">
        <f>[1]團隊投球成績!B19</f>
        <v>春季聯賽</v>
      </c>
      <c r="C19">
        <f>[1]團隊投球成績!C19</f>
        <v>18</v>
      </c>
      <c r="D19" t="str">
        <f>[1]團隊投球成績!D19</f>
        <v>大學</v>
      </c>
      <c r="E19" t="str">
        <f>[1]團隊投球成績!E19</f>
        <v>美和科大</v>
      </c>
      <c r="F19" t="str">
        <f>[1]團隊投球成績!F19</f>
        <v>許少捷</v>
      </c>
      <c r="G19" t="str">
        <f>[1]團隊投球成績!G19</f>
        <v>先發</v>
      </c>
      <c r="H19" s="1">
        <f>[1]團隊投球成績!H19</f>
        <v>6</v>
      </c>
      <c r="I19">
        <f>[1]團隊投球成績!I19</f>
        <v>144</v>
      </c>
      <c r="J19">
        <f>[1]團隊投球成績!J19</f>
        <v>72</v>
      </c>
      <c r="K19">
        <f>[1]團隊投球成績!K19</f>
        <v>43</v>
      </c>
      <c r="L19">
        <f>[1]團隊投球成績!L19</f>
        <v>29</v>
      </c>
      <c r="M19">
        <f>[1]團隊投球成績!M19</f>
        <v>1</v>
      </c>
      <c r="N19">
        <f>[1]團隊投球成績!N19</f>
        <v>1</v>
      </c>
      <c r="O19">
        <f>[1]團隊投球成績!O19</f>
        <v>0</v>
      </c>
      <c r="P19">
        <f>[1]團隊投球成績!P19</f>
        <v>3</v>
      </c>
      <c r="Q19">
        <f>[1]團隊投球成績!Q19</f>
        <v>4</v>
      </c>
      <c r="R19">
        <f>[1]團隊投球成績!R19</f>
        <v>2</v>
      </c>
      <c r="S19">
        <f>[1]團隊投球成績!S19</f>
        <v>23</v>
      </c>
      <c r="T19">
        <f>[1]團隊投球成績!T19</f>
        <v>4</v>
      </c>
      <c r="U19">
        <f>[1]團隊投球成績!U19</f>
        <v>10</v>
      </c>
    </row>
    <row r="20" spans="1:21" x14ac:dyDescent="0.3">
      <c r="A20" s="2">
        <v>46121</v>
      </c>
      <c r="B20" t="str">
        <f>[1]團隊投球成績!B20</f>
        <v>春季聯賽</v>
      </c>
      <c r="C20">
        <f>[1]團隊投球成績!C20</f>
        <v>19</v>
      </c>
      <c r="D20" t="str">
        <f>[1]團隊投球成績!D20</f>
        <v>大學</v>
      </c>
      <c r="E20" t="str">
        <f>[1]團隊投球成績!E20</f>
        <v>美和科大</v>
      </c>
      <c r="F20" t="str">
        <f>[1]團隊投球成績!F20</f>
        <v>邱承葦</v>
      </c>
      <c r="G20" t="str">
        <f>[1]團隊投球成績!G20</f>
        <v>中繼</v>
      </c>
      <c r="H20" s="1">
        <f>[1]團隊投球成績!H20</f>
        <v>3</v>
      </c>
      <c r="I20">
        <f>[1]團隊投球成績!I20</f>
        <v>136</v>
      </c>
      <c r="J20">
        <f>[1]團隊投球成績!J20</f>
        <v>39</v>
      </c>
      <c r="K20">
        <f>[1]團隊投球成績!K20</f>
        <v>30</v>
      </c>
      <c r="L20">
        <f>[1]團隊投球成績!L20</f>
        <v>9</v>
      </c>
      <c r="M20">
        <f>[1]團隊投球成績!M20</f>
        <v>0</v>
      </c>
      <c r="N20">
        <f>[1]團隊投球成績!N20</f>
        <v>0</v>
      </c>
      <c r="O20">
        <f>[1]團隊投球成績!O20</f>
        <v>0</v>
      </c>
      <c r="P20">
        <f>[1]團隊投球成績!P20</f>
        <v>1</v>
      </c>
      <c r="Q20">
        <f>[1]團隊投球成績!Q20</f>
        <v>3</v>
      </c>
      <c r="R20">
        <f>[1]團隊投球成績!R20</f>
        <v>0</v>
      </c>
      <c r="S20">
        <f>[1]團隊投球成績!S20</f>
        <v>10</v>
      </c>
      <c r="T20">
        <f>[1]團隊投球成績!T20</f>
        <v>2</v>
      </c>
      <c r="U20">
        <f>[1]團隊投球成績!U20</f>
        <v>4</v>
      </c>
    </row>
    <row r="21" spans="1:21" x14ac:dyDescent="0.3">
      <c r="A21" s="2">
        <v>46122</v>
      </c>
      <c r="B21" t="str">
        <f>[1]團隊投球成績!B21</f>
        <v>春季聯賽</v>
      </c>
      <c r="C21">
        <f>[1]團隊投球成績!C21</f>
        <v>20</v>
      </c>
      <c r="D21" t="str">
        <f>[1]團隊投球成績!D21</f>
        <v>大學</v>
      </c>
      <c r="E21" t="str">
        <f>[1]團隊投球成績!E21</f>
        <v>中華科大</v>
      </c>
      <c r="F21" t="str">
        <f>[1]團隊投球成績!F21</f>
        <v>陳培安</v>
      </c>
      <c r="G21" t="str">
        <f>[1]團隊投球成績!G21</f>
        <v>先發</v>
      </c>
      <c r="H21" s="1">
        <f>[1]團隊投球成績!H21</f>
        <v>1.3333333333333333</v>
      </c>
      <c r="I21">
        <f>[1]團隊投球成績!I21</f>
        <v>130</v>
      </c>
      <c r="J21">
        <f>[1]團隊投球成績!J21</f>
        <v>38</v>
      </c>
      <c r="K21">
        <f>[1]團隊投球成績!K21</f>
        <v>18</v>
      </c>
      <c r="L21">
        <f>[1]團隊投球成績!L21</f>
        <v>20</v>
      </c>
      <c r="M21">
        <f>[1]團隊投球成績!M21</f>
        <v>5</v>
      </c>
      <c r="N21">
        <f>[1]團隊投球成績!N21</f>
        <v>5</v>
      </c>
      <c r="O21">
        <f>[1]團隊投球成績!O21</f>
        <v>0</v>
      </c>
      <c r="P21">
        <f>[1]團隊投球成績!P21</f>
        <v>4</v>
      </c>
      <c r="Q21">
        <f>[1]團隊投球成績!Q21</f>
        <v>1</v>
      </c>
      <c r="R21">
        <f>[1]團隊投球成績!R21</f>
        <v>2</v>
      </c>
      <c r="S21">
        <f>[1]團隊投球成績!S21</f>
        <v>10</v>
      </c>
      <c r="T21">
        <f>[1]團隊投球成績!T21</f>
        <v>2</v>
      </c>
      <c r="U21">
        <f>[1]團隊投球成績!U21</f>
        <v>1</v>
      </c>
    </row>
    <row r="22" spans="1:21" x14ac:dyDescent="0.3">
      <c r="A22" s="2">
        <v>46122</v>
      </c>
      <c r="B22" t="str">
        <f>[1]團隊投球成績!B22</f>
        <v>春季聯賽</v>
      </c>
      <c r="C22">
        <f>[1]團隊投球成績!C22</f>
        <v>21</v>
      </c>
      <c r="D22" t="str">
        <f>[1]團隊投球成績!D22</f>
        <v>大學</v>
      </c>
      <c r="E22" t="str">
        <f>[1]團隊投球成績!E22</f>
        <v>中華科大</v>
      </c>
      <c r="F22" t="str">
        <f>[1]團隊投球成績!F22</f>
        <v>葉一鋐</v>
      </c>
      <c r="G22" t="str">
        <f>[1]團隊投球成績!G22</f>
        <v>中繼</v>
      </c>
      <c r="H22" s="1">
        <f>[1]團隊投球成績!H22</f>
        <v>5.666666666666667</v>
      </c>
      <c r="I22">
        <f>[1]團隊投球成績!I22</f>
        <v>138</v>
      </c>
      <c r="J22">
        <f>[1]團隊投球成績!J22</f>
        <v>74</v>
      </c>
      <c r="K22">
        <f>[1]團隊投球成績!K22</f>
        <v>45</v>
      </c>
      <c r="L22">
        <f>[1]團隊投球成績!L22</f>
        <v>29</v>
      </c>
      <c r="M22">
        <f>[1]團隊投球成績!M22</f>
        <v>1</v>
      </c>
      <c r="N22">
        <f>[1]團隊投球成績!N22</f>
        <v>0</v>
      </c>
      <c r="O22">
        <f>[1]團隊投球成績!O22</f>
        <v>0</v>
      </c>
      <c r="P22">
        <f>[1]團隊投球成績!P22</f>
        <v>4</v>
      </c>
      <c r="Q22">
        <f>[1]團隊投球成績!Q22</f>
        <v>5</v>
      </c>
      <c r="R22">
        <f>[1]團隊投球成績!R22</f>
        <v>2</v>
      </c>
      <c r="S22">
        <f>[1]團隊投球成績!S22</f>
        <v>24</v>
      </c>
      <c r="T22">
        <f>[1]團隊投球成績!T22</f>
        <v>6</v>
      </c>
      <c r="U22">
        <f>[1]團隊投球成績!U22</f>
        <v>7</v>
      </c>
    </row>
    <row r="23" spans="1:21" x14ac:dyDescent="0.3">
      <c r="A23" s="2">
        <v>46122</v>
      </c>
      <c r="B23" t="str">
        <f>[1]團隊投球成績!B23</f>
        <v>春季聯賽</v>
      </c>
      <c r="C23">
        <f>[1]團隊投球成績!C23</f>
        <v>22</v>
      </c>
      <c r="D23" t="str">
        <f>[1]團隊投球成績!D23</f>
        <v>大學</v>
      </c>
      <c r="E23" t="str">
        <f>[1]團隊投球成績!E23</f>
        <v>中華科大</v>
      </c>
      <c r="F23" t="str">
        <f>[1]團隊投球成績!F23</f>
        <v>李冠中</v>
      </c>
      <c r="G23" t="str">
        <f>[1]團隊投球成績!G23</f>
        <v>後援</v>
      </c>
      <c r="H23" s="1">
        <f>[1]團隊投球成績!H23</f>
        <v>2</v>
      </c>
      <c r="I23">
        <f>[1]團隊投球成績!I23</f>
        <v>133</v>
      </c>
      <c r="J23">
        <f>[1]團隊投球成績!J23</f>
        <v>27</v>
      </c>
      <c r="K23">
        <f>[1]團隊投球成績!K23</f>
        <v>16</v>
      </c>
      <c r="L23">
        <f>[1]團隊投球成績!L23</f>
        <v>11</v>
      </c>
      <c r="M23">
        <f>[1]團隊投球成績!M23</f>
        <v>0</v>
      </c>
      <c r="N23">
        <f>[1]團隊投球成績!N23</f>
        <v>0</v>
      </c>
      <c r="O23">
        <f>[1]團隊投球成績!O23</f>
        <v>0</v>
      </c>
      <c r="P23">
        <f>[1]團隊投球成績!P23</f>
        <v>1</v>
      </c>
      <c r="Q23">
        <f>[1]團隊投球成績!Q23</f>
        <v>2</v>
      </c>
      <c r="R23">
        <f>[1]團隊投球成績!R23</f>
        <v>1</v>
      </c>
      <c r="S23">
        <f>[1]團隊投球成績!S23</f>
        <v>8</v>
      </c>
      <c r="T23">
        <f>[1]團隊投球成績!T23</f>
        <v>3</v>
      </c>
      <c r="U23">
        <f>[1]團隊投球成績!U23</f>
        <v>1</v>
      </c>
    </row>
    <row r="24" spans="1:21" x14ac:dyDescent="0.3">
      <c r="A24" s="2">
        <v>46128</v>
      </c>
      <c r="B24" t="str">
        <f>[1]團隊投球成績!B24</f>
        <v>春季聯賽</v>
      </c>
      <c r="C24">
        <f>[1]團隊投球成績!C24</f>
        <v>23</v>
      </c>
      <c r="D24" t="str">
        <f>[1]團隊投球成績!D24</f>
        <v>大學</v>
      </c>
      <c r="E24" t="str">
        <f>[1]團隊投球成績!E24</f>
        <v>台灣體大</v>
      </c>
      <c r="F24" t="str">
        <f>[1]團隊投球成績!F24</f>
        <v>李雚喆</v>
      </c>
      <c r="G24" t="str">
        <f>[1]團隊投球成績!G24</f>
        <v>先發</v>
      </c>
      <c r="H24" s="1">
        <f>[1]團隊投球成績!H24</f>
        <v>4</v>
      </c>
      <c r="I24">
        <f>[1]團隊投球成績!I24</f>
        <v>144</v>
      </c>
      <c r="J24">
        <f>[1]團隊投球成績!J24</f>
        <v>71</v>
      </c>
      <c r="K24">
        <f>[1]團隊投球成績!K24</f>
        <v>42</v>
      </c>
      <c r="L24">
        <f>[1]團隊投球成績!L24</f>
        <v>29</v>
      </c>
      <c r="M24">
        <f>[1]團隊投球成績!M24</f>
        <v>3</v>
      </c>
      <c r="N24">
        <f>[1]團隊投球成績!N24</f>
        <v>3</v>
      </c>
      <c r="O24">
        <f>[1]團隊投球成績!O24</f>
        <v>1</v>
      </c>
      <c r="P24">
        <f>[1]團隊投球成績!P24</f>
        <v>3</v>
      </c>
      <c r="Q24">
        <f>[1]團隊投球成績!Q24</f>
        <v>3</v>
      </c>
      <c r="R24">
        <f>[1]團隊投球成績!R24</f>
        <v>3</v>
      </c>
      <c r="S24">
        <f>[1]團隊投球成績!S24</f>
        <v>18</v>
      </c>
      <c r="T24">
        <f>[1]團隊投球成績!T24</f>
        <v>5</v>
      </c>
      <c r="U24">
        <f>[1]團隊投球成績!U24</f>
        <v>3</v>
      </c>
    </row>
    <row r="25" spans="1:21" x14ac:dyDescent="0.3">
      <c r="A25" s="2">
        <v>46128</v>
      </c>
      <c r="B25" t="str">
        <f>[1]團隊投球成績!B25</f>
        <v>春季聯賽</v>
      </c>
      <c r="C25">
        <f>[1]團隊投球成績!C25</f>
        <v>24</v>
      </c>
      <c r="D25" t="str">
        <f>[1]團隊投球成績!D25</f>
        <v>大學</v>
      </c>
      <c r="E25" t="str">
        <f>[1]團隊投球成績!E25</f>
        <v>台灣體大</v>
      </c>
      <c r="F25" t="str">
        <f>[1]團隊投球成績!F25</f>
        <v>李冠中</v>
      </c>
      <c r="G25" t="str">
        <f>[1]團隊投球成績!G25</f>
        <v>中繼</v>
      </c>
      <c r="H25" s="1">
        <f>[1]團隊投球成績!H25</f>
        <v>2.3333333333333335</v>
      </c>
      <c r="I25">
        <f>[1]團隊投球成績!I25</f>
        <v>136</v>
      </c>
      <c r="J25">
        <f>[1]團隊投球成績!J25</f>
        <v>41</v>
      </c>
      <c r="K25">
        <f>[1]團隊投球成績!K25</f>
        <v>25</v>
      </c>
      <c r="L25">
        <f>[1]團隊投球成績!L25</f>
        <v>16</v>
      </c>
      <c r="M25">
        <f>[1]團隊投球成績!M25</f>
        <v>0</v>
      </c>
      <c r="N25">
        <f>[1]團隊投球成績!N25</f>
        <v>0</v>
      </c>
      <c r="O25">
        <f>[1]團隊投球成績!O25</f>
        <v>0</v>
      </c>
      <c r="P25">
        <f>[1]團隊投球成績!P25</f>
        <v>5</v>
      </c>
      <c r="Q25">
        <f>[1]團隊投球成績!Q25</f>
        <v>1</v>
      </c>
      <c r="R25">
        <f>[1]團隊投球成績!R25</f>
        <v>1</v>
      </c>
      <c r="S25">
        <f>[1]團隊投球成績!S25</f>
        <v>12</v>
      </c>
      <c r="T25">
        <f>[1]團隊投球成績!T25</f>
        <v>3</v>
      </c>
      <c r="U25">
        <f>[1]團隊投球成績!U25</f>
        <v>2</v>
      </c>
    </row>
    <row r="26" spans="1:21" x14ac:dyDescent="0.3">
      <c r="A26" s="2">
        <v>46128</v>
      </c>
      <c r="B26" t="str">
        <f>[1]團隊投球成績!B26</f>
        <v>春季聯賽</v>
      </c>
      <c r="C26">
        <f>[1]團隊投球成績!C26</f>
        <v>25</v>
      </c>
      <c r="D26" t="str">
        <f>[1]團隊投球成績!D26</f>
        <v>大學</v>
      </c>
      <c r="E26" t="str">
        <f>[1]團隊投球成績!E26</f>
        <v>台灣體大</v>
      </c>
      <c r="F26" t="str">
        <f>[1]團隊投球成績!F26</f>
        <v>葉一鋐</v>
      </c>
      <c r="G26" t="str">
        <f>[1]團隊投球成績!G26</f>
        <v>中繼</v>
      </c>
      <c r="H26" s="1">
        <f>[1]團隊投球成績!H26</f>
        <v>1</v>
      </c>
      <c r="I26">
        <f>[1]團隊投球成績!I26</f>
        <v>137</v>
      </c>
      <c r="J26">
        <f>[1]團隊投球成績!J26</f>
        <v>12</v>
      </c>
      <c r="K26">
        <f>[1]團隊投球成績!K26</f>
        <v>4</v>
      </c>
      <c r="L26">
        <f>[1]團隊投球成績!L26</f>
        <v>8</v>
      </c>
      <c r="M26">
        <f>[1]團隊投球成績!M26</f>
        <v>0</v>
      </c>
      <c r="N26">
        <f>[1]團隊投球成績!N26</f>
        <v>0</v>
      </c>
      <c r="O26">
        <f>[1]團隊投球成績!O26</f>
        <v>0</v>
      </c>
      <c r="P26">
        <f>[1]團隊投球成績!P26</f>
        <v>0</v>
      </c>
      <c r="Q26">
        <f>[1]團隊投球成績!Q26</f>
        <v>0</v>
      </c>
      <c r="R26">
        <f>[1]團隊投球成績!R26</f>
        <v>1</v>
      </c>
      <c r="S26">
        <f>[1]團隊投球成績!S26</f>
        <v>3</v>
      </c>
      <c r="T26">
        <f>[1]團隊投球成績!T26</f>
        <v>0</v>
      </c>
      <c r="U26">
        <f>[1]團隊投球成績!U26</f>
        <v>2</v>
      </c>
    </row>
    <row r="27" spans="1:21" x14ac:dyDescent="0.3">
      <c r="A27" s="2">
        <v>46128</v>
      </c>
      <c r="B27" t="str">
        <f>[1]團隊投球成績!B27</f>
        <v>春季聯賽</v>
      </c>
      <c r="C27">
        <f>[1]團隊投球成績!C27</f>
        <v>26</v>
      </c>
      <c r="D27" t="str">
        <f>[1]團隊投球成績!D27</f>
        <v>大學</v>
      </c>
      <c r="E27" t="str">
        <f>[1]團隊投球成績!E27</f>
        <v>台灣體大</v>
      </c>
      <c r="F27" t="str">
        <f>[1]團隊投球成績!F27</f>
        <v>李振綸</v>
      </c>
      <c r="G27" t="str">
        <f>[1]團隊投球成績!G27</f>
        <v>中繼</v>
      </c>
      <c r="H27" s="1">
        <f>[1]團隊投球成績!H27</f>
        <v>0.66666666666666663</v>
      </c>
      <c r="I27">
        <f>[1]團隊投球成績!I27</f>
        <v>131</v>
      </c>
      <c r="J27">
        <f>[1]團隊投球成績!J27</f>
        <v>7</v>
      </c>
      <c r="K27">
        <f>[1]團隊投球成績!K27</f>
        <v>6</v>
      </c>
      <c r="L27">
        <f>[1]團隊投球成績!L27</f>
        <v>1</v>
      </c>
      <c r="M27">
        <f>[1]團隊投球成績!M27</f>
        <v>0</v>
      </c>
      <c r="N27">
        <f>[1]團隊投球成績!N27</f>
        <v>0</v>
      </c>
      <c r="O27">
        <f>[1]團隊投球成績!O27</f>
        <v>0</v>
      </c>
      <c r="P27">
        <f>[1]團隊投球成績!P27</f>
        <v>0</v>
      </c>
      <c r="Q27">
        <f>[1]團隊投球成績!Q27</f>
        <v>1</v>
      </c>
      <c r="R27">
        <f>[1]團隊投球成績!R27</f>
        <v>0</v>
      </c>
      <c r="S27">
        <f>[1]團隊投球成績!S27</f>
        <v>2</v>
      </c>
      <c r="T27">
        <f>[1]團隊投球成績!T27</f>
        <v>0</v>
      </c>
      <c r="U27">
        <f>[1]團隊投球成績!U27</f>
        <v>1</v>
      </c>
    </row>
    <row r="28" spans="1:21" x14ac:dyDescent="0.3">
      <c r="A28" s="2">
        <v>46128</v>
      </c>
      <c r="B28" t="str">
        <f>[1]團隊投球成績!B28</f>
        <v>春季聯賽</v>
      </c>
      <c r="C28">
        <f>[1]團隊投球成績!C28</f>
        <v>27</v>
      </c>
      <c r="D28" t="str">
        <f>[1]團隊投球成績!D28</f>
        <v>大學</v>
      </c>
      <c r="E28" t="str">
        <f>[1]團隊投球成績!E28</f>
        <v>台灣體大</v>
      </c>
      <c r="F28" t="str">
        <f>[1]團隊投球成績!F28</f>
        <v>林誠恩</v>
      </c>
      <c r="G28" t="str">
        <f>[1]團隊投球成績!G28</f>
        <v>後援</v>
      </c>
      <c r="H28" s="1">
        <f>[1]團隊投球成績!H28</f>
        <v>1</v>
      </c>
      <c r="I28">
        <f>[1]團隊投球成績!I28</f>
        <v>146</v>
      </c>
      <c r="J28">
        <f>[1]團隊投球成績!J28</f>
        <v>12</v>
      </c>
      <c r="K28">
        <f>[1]團隊投球成績!K28</f>
        <v>11</v>
      </c>
      <c r="L28">
        <f>[1]團隊投球成績!L28</f>
        <v>1</v>
      </c>
      <c r="M28">
        <f>[1]團隊投球成績!M28</f>
        <v>0</v>
      </c>
      <c r="N28">
        <f>[1]團隊投球成績!N28</f>
        <v>0</v>
      </c>
      <c r="O28">
        <f>[1]團隊投球成績!O28</f>
        <v>0</v>
      </c>
      <c r="P28">
        <f>[1]團隊投球成績!P28</f>
        <v>1</v>
      </c>
      <c r="Q28">
        <f>[1]團隊投球成績!Q28</f>
        <v>1</v>
      </c>
      <c r="R28">
        <f>[1]團隊投球成績!R28</f>
        <v>0</v>
      </c>
      <c r="S28">
        <f>[1]團隊投球成績!S28</f>
        <v>4</v>
      </c>
      <c r="T28">
        <f>[1]團隊投球成績!T28</f>
        <v>1</v>
      </c>
      <c r="U28">
        <f>[1]團隊投球成績!U28</f>
        <v>1</v>
      </c>
    </row>
    <row r="29" spans="1:21" x14ac:dyDescent="0.3">
      <c r="A29" s="2">
        <v>46129</v>
      </c>
      <c r="B29" t="str">
        <f>[1]團隊投球成績!B29</f>
        <v>春季聯賽</v>
      </c>
      <c r="C29">
        <f>[1]團隊投球成績!C29</f>
        <v>28</v>
      </c>
      <c r="D29" t="str">
        <f>[1]團隊投球成績!D29</f>
        <v>大學</v>
      </c>
      <c r="E29" t="str">
        <f>[1]團隊投球成績!E29</f>
        <v>台鋼科大</v>
      </c>
      <c r="F29" t="str">
        <f>[1]團隊投球成績!F29</f>
        <v>李聖韓</v>
      </c>
      <c r="G29" t="str">
        <f>[1]團隊投球成績!G29</f>
        <v>先發</v>
      </c>
      <c r="H29" s="1">
        <f>[1]團隊投球成績!H29</f>
        <v>3</v>
      </c>
      <c r="I29">
        <f>[1]團隊投球成績!I29</f>
        <v>146</v>
      </c>
      <c r="J29">
        <f>[1]團隊投球成績!J29</f>
        <v>52</v>
      </c>
      <c r="K29">
        <f>[1]團隊投球成績!K29</f>
        <v>38</v>
      </c>
      <c r="L29">
        <f>[1]團隊投球成績!L29</f>
        <v>16</v>
      </c>
      <c r="M29">
        <f>[1]團隊投球成績!M29</f>
        <v>0</v>
      </c>
      <c r="N29">
        <f>[1]團隊投球成績!N29</f>
        <v>0</v>
      </c>
      <c r="O29">
        <f>[1]團隊投球成績!O29</f>
        <v>0</v>
      </c>
      <c r="P29">
        <f>[1]團隊投球成績!P29</f>
        <v>0</v>
      </c>
      <c r="Q29">
        <f>[1]團隊投球成績!Q29</f>
        <v>6</v>
      </c>
      <c r="R29">
        <f>[1]團隊投球成績!R29</f>
        <v>2</v>
      </c>
      <c r="S29">
        <f>[1]團隊投球成績!S29</f>
        <v>11</v>
      </c>
      <c r="T29">
        <f>[1]團隊投球成績!T29</f>
        <v>2</v>
      </c>
      <c r="U29">
        <f>[1]團隊投球成績!U29</f>
        <v>1</v>
      </c>
    </row>
    <row r="30" spans="1:21" x14ac:dyDescent="0.3">
      <c r="A30" s="2">
        <v>46129</v>
      </c>
      <c r="B30" t="str">
        <f>[1]團隊投球成績!B30</f>
        <v>春季聯賽</v>
      </c>
      <c r="C30">
        <f>[1]團隊投球成績!C30</f>
        <v>29</v>
      </c>
      <c r="D30" t="str">
        <f>[1]團隊投球成績!D30</f>
        <v>大學</v>
      </c>
      <c r="E30" t="str">
        <f>[1]團隊投球成績!E30</f>
        <v>台鋼科大</v>
      </c>
      <c r="F30" t="str">
        <f>[1]團隊投球成績!F30</f>
        <v>李振綸</v>
      </c>
      <c r="G30" t="str">
        <f>[1]團隊投球成績!G30</f>
        <v>中繼</v>
      </c>
      <c r="H30" s="1">
        <f>[1]團隊投球成績!H30</f>
        <v>2.6666666666666701</v>
      </c>
      <c r="I30">
        <f>[1]團隊投球成績!I30</f>
        <v>133</v>
      </c>
      <c r="J30">
        <f>[1]團隊投球成績!J30</f>
        <v>36</v>
      </c>
      <c r="K30">
        <f>[1]團隊投球成績!K30</f>
        <v>24</v>
      </c>
      <c r="L30">
        <f>[1]團隊投球成績!L30</f>
        <v>12</v>
      </c>
      <c r="M30">
        <f>[1]團隊投球成績!M30</f>
        <v>0</v>
      </c>
      <c r="N30">
        <f>[1]團隊投球成績!N30</f>
        <v>0</v>
      </c>
      <c r="O30">
        <f>[1]團隊投球成績!O30</f>
        <v>0</v>
      </c>
      <c r="P30">
        <f>[1]團隊投球成績!P30</f>
        <v>1</v>
      </c>
      <c r="Q30">
        <f>[1]團隊投球成績!Q30</f>
        <v>3</v>
      </c>
      <c r="R30">
        <f>[1]團隊投球成績!R30</f>
        <v>1</v>
      </c>
      <c r="S30">
        <f>[1]團隊投球成績!S30</f>
        <v>11</v>
      </c>
      <c r="T30">
        <f>[1]團隊投球成績!T30</f>
        <v>3</v>
      </c>
      <c r="U30">
        <f>[1]團隊投球成績!U30</f>
        <v>3</v>
      </c>
    </row>
    <row r="31" spans="1:21" x14ac:dyDescent="0.3">
      <c r="A31" s="2">
        <v>46129</v>
      </c>
      <c r="B31" t="str">
        <f>[1]團隊投球成績!B31</f>
        <v>春季聯賽</v>
      </c>
      <c r="C31">
        <f>[1]團隊投球成績!C31</f>
        <v>30</v>
      </c>
      <c r="D31" t="str">
        <f>[1]團隊投球成績!D31</f>
        <v>大學</v>
      </c>
      <c r="E31" t="str">
        <f>[1]團隊投球成績!E31</f>
        <v>台鋼科大</v>
      </c>
      <c r="F31" t="str">
        <f>[1]團隊投球成績!F31</f>
        <v>林承恩</v>
      </c>
      <c r="G31" t="str">
        <f>[1]團隊投球成績!G31</f>
        <v>後援</v>
      </c>
      <c r="H31" s="1">
        <f>[1]團隊投球成績!H31</f>
        <v>3.3333333333333335</v>
      </c>
      <c r="I31">
        <f>[1]團隊投球成績!I31</f>
        <v>140</v>
      </c>
      <c r="J31">
        <f>[1]團隊投球成績!J31</f>
        <v>47</v>
      </c>
      <c r="K31">
        <f>[1]團隊投球成績!K31</f>
        <v>34</v>
      </c>
      <c r="L31">
        <f>[1]團隊投球成績!L31</f>
        <v>13</v>
      </c>
      <c r="M31">
        <f>[1]團隊投球成績!M31</f>
        <v>0</v>
      </c>
      <c r="N31">
        <f>[1]團隊投球成績!N31</f>
        <v>0</v>
      </c>
      <c r="O31">
        <f>[1]團隊投球成績!O31</f>
        <v>0</v>
      </c>
      <c r="P31">
        <f>[1]團隊投球成績!P31</f>
        <v>2</v>
      </c>
      <c r="Q31">
        <f>[1]團隊投球成績!Q31</f>
        <v>4</v>
      </c>
      <c r="R31">
        <f>[1]團隊投球成績!R31</f>
        <v>1</v>
      </c>
      <c r="S31">
        <f>[1]團隊投球成績!S31</f>
        <v>13</v>
      </c>
      <c r="T31">
        <f>[1]團隊投球成績!T31</f>
        <v>4</v>
      </c>
      <c r="U31">
        <f>[1]團隊投球成績!U31</f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anying05270827@gmail.com</dc:creator>
  <cp:lastModifiedBy>anying05270827@gmail.com</cp:lastModifiedBy>
  <dcterms:created xsi:type="dcterms:W3CDTF">2026-06-01T06:21:26Z</dcterms:created>
  <dcterms:modified xsi:type="dcterms:W3CDTF">2026-06-01T06:32:17Z</dcterms:modified>
</cp:coreProperties>
</file>